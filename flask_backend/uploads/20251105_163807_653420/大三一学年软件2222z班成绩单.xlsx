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<sst xmlns="http://schemas.openxmlformats.org/spreadsheetml/2006/main" count="119" uniqueCount="75">
  <si>
    <t>序号</t>
  </si>
  <si>
    <t>学号</t>
  </si>
  <si>
    <t>姓名</t>
  </si>
  <si>
    <t>班级</t>
  </si>
  <si>
    <t>计算机网络</t>
  </si>
  <si>
    <t>软件工程导论</t>
  </si>
  <si>
    <t>软件工程经济学</t>
  </si>
  <si>
    <t>习近平新时代中国特色社会主义思想概论</t>
  </si>
  <si>
    <t>思想政治理论课综合实践</t>
  </si>
  <si>
    <t>软件工程综合实践5</t>
  </si>
  <si>
    <t>大数据可视化技术与应用</t>
  </si>
  <si>
    <t>云平台架构及应用开发技术</t>
  </si>
  <si>
    <t>大数据编程基础</t>
  </si>
  <si>
    <t>大数据存储与处理技术应用</t>
  </si>
  <si>
    <t>R语言统计分析与应用</t>
  </si>
  <si>
    <t>数据挖掘</t>
  </si>
  <si>
    <t>软件工程专业英语</t>
  </si>
  <si>
    <t>软件需求分析</t>
  </si>
  <si>
    <t>软件质量保证与测试</t>
  </si>
  <si>
    <t>人机交互软件工程方法</t>
  </si>
  <si>
    <t>软件项目管理</t>
  </si>
  <si>
    <t>软件设计与体系结构</t>
  </si>
  <si>
    <t>团队激励与沟通</t>
  </si>
  <si>
    <t>大学生就业指导</t>
  </si>
  <si>
    <t>科技论文与写作</t>
  </si>
  <si>
    <t>总分</t>
  </si>
  <si>
    <t>平均分</t>
  </si>
  <si>
    <t>排名</t>
  </si>
  <si>
    <t>李芳菲</t>
  </si>
  <si>
    <t>软件2222Z班</t>
  </si>
  <si>
    <t>申函萁</t>
  </si>
  <si>
    <t>温雨欣</t>
  </si>
  <si>
    <t>任伟滔</t>
  </si>
  <si>
    <t>王浩</t>
  </si>
  <si>
    <t>雷悦</t>
  </si>
  <si>
    <t>王宁宁</t>
  </si>
  <si>
    <t>赵攀攀</t>
  </si>
  <si>
    <t>乔佳玉</t>
  </si>
  <si>
    <t>段怡玮</t>
  </si>
  <si>
    <t>陈锦如</t>
  </si>
  <si>
    <t>李佳颖</t>
  </si>
  <si>
    <t>冯蜜源</t>
  </si>
  <si>
    <t>景诺雅</t>
  </si>
  <si>
    <t>赵柯皓</t>
  </si>
  <si>
    <t>武楷杰</t>
  </si>
  <si>
    <t>陆龙炎</t>
  </si>
  <si>
    <t>张子涵</t>
  </si>
  <si>
    <t>裴钰杰</t>
  </si>
  <si>
    <t>赵洋琦</t>
  </si>
  <si>
    <t>窦鑫</t>
  </si>
  <si>
    <t>秦煜博</t>
  </si>
  <si>
    <t>王弘实</t>
  </si>
  <si>
    <t>李鹏飞</t>
  </si>
  <si>
    <t>赵诗如</t>
  </si>
  <si>
    <t>张艺佳</t>
  </si>
  <si>
    <t>20221614801</t>
  </si>
  <si>
    <t>王锦弘</t>
  </si>
  <si>
    <t>张津豪</t>
  </si>
  <si>
    <t>盛嘉</t>
  </si>
  <si>
    <t>张艺</t>
  </si>
  <si>
    <t>王智源</t>
  </si>
  <si>
    <t>梁旭锋</t>
  </si>
  <si>
    <t>张锦鹏</t>
  </si>
  <si>
    <t>靳智涛</t>
  </si>
  <si>
    <t>王宁</t>
  </si>
  <si>
    <t>郭凌东</t>
  </si>
  <si>
    <t>马政垲</t>
  </si>
  <si>
    <t>靳塬墅</t>
  </si>
  <si>
    <t>李淇</t>
  </si>
  <si>
    <t>张逸洋</t>
  </si>
  <si>
    <t>张翼</t>
  </si>
  <si>
    <t>吕博森</t>
  </si>
  <si>
    <t>曹一航</t>
  </si>
  <si>
    <t>曹凯锋</t>
  </si>
  <si>
    <t>申泽钰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</si>
</sst>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 vertical="center"/>
      <protection locked="0"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6.xml"/><Relationship Id="rId6" Type="http://schemas.openxmlformats.org/officeDocument/2006/relationships/customXml" Target="../customXml/item5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8"/>
  <sheetViews>
    <sheetView tabSelected="1" topLeftCell="P1" workbookViewId="0">
      <selection activeCell="AA11" sqref="AA11"/>
    </sheetView>
  </sheetViews>
  <sheetFormatPr defaultColWidth="9" defaultRowHeight="13.8"/>
  <cols>
    <col min="1" max="1" width="5.66666666666667" customWidth="1"/>
    <col min="2" max="2" width="12.4444444444444" customWidth="1"/>
    <col min="3" max="3" width="6.88888888888889" customWidth="1"/>
    <col min="4" max="4" width="11.7777777777778" customWidth="1"/>
    <col min="5" max="5" width="10.8888888888889" customWidth="1"/>
    <col min="6" max="6" width="13.6666666666667" customWidth="1"/>
    <col min="7" max="7" width="15" customWidth="1"/>
    <col min="8" max="8" width="36.4444444444444" customWidth="1"/>
    <col min="9" max="9" width="19.2222222222222" customWidth="1"/>
    <col min="10" max="10" width="18.6666666666667" customWidth="1"/>
    <col min="11" max="11" width="22" customWidth="1"/>
    <col min="12" max="12" width="23.6666666666667" customWidth="1"/>
    <col min="13" max="13" width="15.1111111111111" customWidth="1"/>
    <col min="14" max="14" width="25.4444444444444" customWidth="1"/>
    <col min="15" max="15" width="21.6666666666667" customWidth="1"/>
    <col min="16" max="16" width="12.7777777777778" customWidth="1"/>
    <col min="17" max="17" width="16.8888888888889" customWidth="1"/>
    <col min="18" max="18" width="12.8888888888889" customWidth="1"/>
    <col min="19" max="19" width="18.3333333333333" customWidth="1"/>
    <col min="20" max="20" width="21" customWidth="1"/>
    <col min="21" max="21" width="12.5555555555556" customWidth="1"/>
    <col min="22" max="22" width="19.5555555555556" customWidth="1"/>
    <col min="23" max="23" width="16.3333333333333" customWidth="1"/>
    <col min="24" max="24" width="14.2222222222222" customWidth="1"/>
    <col min="25" max="25" width="16" customWidth="1"/>
    <col min="26" max="26" width="7.55555555555556" customWidth="1"/>
    <col min="27" max="27" width="7.33333333333333" customWidth="1"/>
    <col min="28" max="28" width="5.88888888888889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/>
    </row>
    <row r="2" spans="1:29">
      <c r="A2" s="1">
        <v>8</v>
      </c>
      <c r="B2" s="1">
        <v>20221614610</v>
      </c>
      <c r="C2" s="1" t="s">
        <v>28</v>
      </c>
      <c r="D2" s="1" t="s">
        <v>29</v>
      </c>
      <c r="E2" s="3">
        <v>92</v>
      </c>
      <c r="F2" s="3">
        <v>86.9</v>
      </c>
      <c r="G2" s="3">
        <v>92.58</v>
      </c>
      <c r="H2" s="3">
        <v>88</v>
      </c>
      <c r="I2" s="3">
        <v>90</v>
      </c>
      <c r="J2" s="3">
        <v>86.6</v>
      </c>
      <c r="K2" s="3">
        <v>90.8</v>
      </c>
      <c r="L2" s="3">
        <v>91.43</v>
      </c>
      <c r="M2" s="3">
        <v>86.05</v>
      </c>
      <c r="N2" s="3">
        <v>88.67</v>
      </c>
      <c r="O2" s="3">
        <v>88.05</v>
      </c>
      <c r="P2" s="3">
        <v>91.5</v>
      </c>
      <c r="Q2" s="3">
        <v>95.05</v>
      </c>
      <c r="R2" s="3">
        <v>86.83</v>
      </c>
      <c r="S2" s="3">
        <v>92.3</v>
      </c>
      <c r="T2" s="3">
        <v>90.28</v>
      </c>
      <c r="U2" s="3">
        <v>94.44</v>
      </c>
      <c r="V2" s="3">
        <v>94.4</v>
      </c>
      <c r="W2" s="3">
        <v>95.2</v>
      </c>
      <c r="X2" s="3">
        <v>94.1</v>
      </c>
      <c r="Y2" s="3">
        <v>91.6</v>
      </c>
      <c r="Z2" s="3">
        <f t="shared" ref="Z2:Z46" si="0">E2+F2+G2+H2+I2+J2+K2+L2+M2+N2+O2+P2+Q2+R2+S2+T2+U2+V2+W2+X2+Y2</f>
        <v>1906.78</v>
      </c>
      <c r="AA2" s="1">
        <f t="shared" ref="AA2:AA46" si="1">Z2/21</f>
        <v>90.7990476190476</v>
      </c>
      <c r="AB2" s="1">
        <v>1</v>
      </c>
      <c r="AC2" s="1"/>
    </row>
    <row r="3" spans="1:29">
      <c r="A3" s="1">
        <v>34</v>
      </c>
      <c r="B3" s="1">
        <v>20221614813</v>
      </c>
      <c r="C3" s="1" t="s">
        <v>30</v>
      </c>
      <c r="D3" s="1" t="s">
        <v>29</v>
      </c>
      <c r="E3" s="3">
        <v>90.14</v>
      </c>
      <c r="F3" s="3">
        <v>89.6</v>
      </c>
      <c r="G3" s="3">
        <v>93.96</v>
      </c>
      <c r="H3" s="3">
        <v>82.5</v>
      </c>
      <c r="I3" s="3">
        <v>91.9</v>
      </c>
      <c r="J3" s="3">
        <v>88.6</v>
      </c>
      <c r="K3" s="3">
        <v>90.45</v>
      </c>
      <c r="L3" s="3">
        <v>93.37</v>
      </c>
      <c r="M3" s="3">
        <v>89.75</v>
      </c>
      <c r="N3" s="3">
        <v>87.69</v>
      </c>
      <c r="O3" s="3">
        <v>82.85</v>
      </c>
      <c r="P3" s="3">
        <v>87.9</v>
      </c>
      <c r="Q3" s="3">
        <v>95.56</v>
      </c>
      <c r="R3" s="3">
        <v>85.1</v>
      </c>
      <c r="S3" s="3">
        <v>92.85</v>
      </c>
      <c r="T3" s="3">
        <v>94.75</v>
      </c>
      <c r="U3" s="3">
        <v>95.04</v>
      </c>
      <c r="V3" s="3">
        <v>93.82</v>
      </c>
      <c r="W3" s="3">
        <v>95.8</v>
      </c>
      <c r="X3" s="3">
        <v>90.4</v>
      </c>
      <c r="Y3" s="3">
        <v>87.38</v>
      </c>
      <c r="Z3" s="3">
        <f t="shared" si="0"/>
        <v>1899.41</v>
      </c>
      <c r="AA3" s="1">
        <f t="shared" si="1"/>
        <v>90.4480952380952</v>
      </c>
      <c r="AB3" s="1">
        <v>2</v>
      </c>
      <c r="AC3" s="1"/>
    </row>
    <row r="4" spans="1:29">
      <c r="A4" s="1">
        <v>4</v>
      </c>
      <c r="B4" s="1">
        <v>20221614603</v>
      </c>
      <c r="C4" s="1" t="s">
        <v>31</v>
      </c>
      <c r="D4" s="1" t="s">
        <v>29</v>
      </c>
      <c r="E4" s="3">
        <v>96.32</v>
      </c>
      <c r="F4" s="3">
        <v>89.04</v>
      </c>
      <c r="G4" s="3">
        <v>94.4</v>
      </c>
      <c r="H4" s="3">
        <v>81.5</v>
      </c>
      <c r="I4" s="3">
        <v>91.9</v>
      </c>
      <c r="J4" s="3">
        <v>89</v>
      </c>
      <c r="K4" s="3">
        <v>87.95</v>
      </c>
      <c r="L4" s="3">
        <v>91.6</v>
      </c>
      <c r="M4" s="3">
        <v>92</v>
      </c>
      <c r="N4" s="3">
        <v>91.79</v>
      </c>
      <c r="O4" s="3">
        <v>88.85</v>
      </c>
      <c r="P4" s="3">
        <v>91.1</v>
      </c>
      <c r="Q4" s="3">
        <v>91.11</v>
      </c>
      <c r="R4" s="3">
        <v>84.2</v>
      </c>
      <c r="S4" s="3">
        <v>87.45</v>
      </c>
      <c r="T4" s="3">
        <v>87.88</v>
      </c>
      <c r="U4" s="3">
        <v>88.85</v>
      </c>
      <c r="V4" s="3">
        <v>90.36</v>
      </c>
      <c r="W4" s="3">
        <v>93.6</v>
      </c>
      <c r="X4" s="3">
        <v>94</v>
      </c>
      <c r="Y4" s="3">
        <v>83.55</v>
      </c>
      <c r="Z4" s="3">
        <f t="shared" si="0"/>
        <v>1886.45</v>
      </c>
      <c r="AA4" s="1">
        <f t="shared" si="1"/>
        <v>89.8309523809524</v>
      </c>
      <c r="AB4" s="1">
        <v>3</v>
      </c>
      <c r="AC4" s="1"/>
    </row>
    <row r="5" spans="1:29">
      <c r="A5" s="1">
        <v>28</v>
      </c>
      <c r="B5" s="1">
        <v>20221614747</v>
      </c>
      <c r="C5" s="1" t="s">
        <v>32</v>
      </c>
      <c r="D5" s="1" t="s">
        <v>29</v>
      </c>
      <c r="E5" s="3">
        <v>91.86</v>
      </c>
      <c r="F5" s="3">
        <v>91.3</v>
      </c>
      <c r="G5" s="3">
        <v>94.19</v>
      </c>
      <c r="H5" s="3">
        <v>82.5</v>
      </c>
      <c r="I5" s="3">
        <v>91.9</v>
      </c>
      <c r="J5" s="3">
        <v>91.5</v>
      </c>
      <c r="K5" s="3">
        <v>83.6</v>
      </c>
      <c r="L5" s="3">
        <v>89.4</v>
      </c>
      <c r="M5" s="3">
        <v>84.85</v>
      </c>
      <c r="N5" s="3">
        <v>90.37</v>
      </c>
      <c r="O5" s="3">
        <v>88.68</v>
      </c>
      <c r="P5" s="3">
        <v>90.8</v>
      </c>
      <c r="Q5" s="3">
        <v>91.57</v>
      </c>
      <c r="R5" s="3">
        <v>81.95</v>
      </c>
      <c r="S5" s="3">
        <v>85.4</v>
      </c>
      <c r="T5" s="3">
        <v>88.84</v>
      </c>
      <c r="U5" s="3">
        <v>93.24</v>
      </c>
      <c r="V5" s="3">
        <v>89.35</v>
      </c>
      <c r="W5" s="3">
        <v>88.1</v>
      </c>
      <c r="X5" s="3">
        <v>90.4</v>
      </c>
      <c r="Y5" s="3">
        <v>86.83</v>
      </c>
      <c r="Z5" s="3">
        <f t="shared" si="0"/>
        <v>1866.63</v>
      </c>
      <c r="AA5" s="1">
        <f t="shared" si="1"/>
        <v>88.8871428571428</v>
      </c>
      <c r="AB5" s="1">
        <v>4</v>
      </c>
      <c r="AC5" s="1"/>
    </row>
    <row r="6" spans="1:29">
      <c r="A6" s="1">
        <v>32</v>
      </c>
      <c r="B6" s="1">
        <v>20221614803</v>
      </c>
      <c r="C6" s="1" t="s">
        <v>33</v>
      </c>
      <c r="D6" s="1" t="s">
        <v>29</v>
      </c>
      <c r="E6" s="3">
        <v>93.12</v>
      </c>
      <c r="F6" s="3">
        <v>89.5</v>
      </c>
      <c r="G6" s="3">
        <v>96.67</v>
      </c>
      <c r="H6" s="3">
        <v>90</v>
      </c>
      <c r="I6" s="3">
        <v>93.15</v>
      </c>
      <c r="J6" s="3">
        <v>89.5</v>
      </c>
      <c r="K6" s="3">
        <v>88.35</v>
      </c>
      <c r="L6" s="3">
        <v>89.9</v>
      </c>
      <c r="M6" s="3">
        <v>83.15</v>
      </c>
      <c r="N6" s="3">
        <v>83.08</v>
      </c>
      <c r="O6" s="3">
        <v>77.78</v>
      </c>
      <c r="P6" s="3">
        <v>88.7</v>
      </c>
      <c r="Q6" s="3">
        <v>90.17</v>
      </c>
      <c r="R6" s="3">
        <v>88.17</v>
      </c>
      <c r="S6" s="3">
        <v>87</v>
      </c>
      <c r="T6" s="3">
        <v>89.73</v>
      </c>
      <c r="U6" s="3">
        <v>92.19</v>
      </c>
      <c r="V6" s="3">
        <v>86.51</v>
      </c>
      <c r="W6" s="3">
        <v>91.6</v>
      </c>
      <c r="X6" s="3">
        <v>88.05</v>
      </c>
      <c r="Y6" s="3">
        <v>88.55</v>
      </c>
      <c r="Z6" s="3">
        <f t="shared" si="0"/>
        <v>1864.87</v>
      </c>
      <c r="AA6" s="1">
        <f t="shared" si="1"/>
        <v>88.8033333333333</v>
      </c>
      <c r="AB6" s="1">
        <v>5</v>
      </c>
      <c r="AC6" s="1"/>
    </row>
    <row r="7" spans="1:29">
      <c r="A7" s="1">
        <v>35</v>
      </c>
      <c r="B7" s="1">
        <v>20221614819</v>
      </c>
      <c r="C7" s="1" t="s">
        <v>34</v>
      </c>
      <c r="D7" s="1" t="s">
        <v>29</v>
      </c>
      <c r="E7" s="3">
        <v>90.7</v>
      </c>
      <c r="F7" s="3">
        <v>89.9</v>
      </c>
      <c r="G7" s="3">
        <v>91.03</v>
      </c>
      <c r="H7" s="3">
        <v>87</v>
      </c>
      <c r="I7" s="3">
        <v>89.05</v>
      </c>
      <c r="J7" s="3">
        <v>89</v>
      </c>
      <c r="K7" s="3">
        <v>88.6</v>
      </c>
      <c r="L7" s="3">
        <v>89.8</v>
      </c>
      <c r="M7" s="3">
        <v>87.75</v>
      </c>
      <c r="N7" s="3">
        <v>83.35</v>
      </c>
      <c r="O7" s="3">
        <v>79.97</v>
      </c>
      <c r="P7" s="3">
        <v>88.3</v>
      </c>
      <c r="Q7" s="3">
        <v>90.63</v>
      </c>
      <c r="R7" s="3">
        <v>85.55</v>
      </c>
      <c r="S7" s="3">
        <v>91.5</v>
      </c>
      <c r="T7" s="3">
        <v>87.66</v>
      </c>
      <c r="U7" s="3">
        <v>91.85</v>
      </c>
      <c r="V7" s="3">
        <v>92.84</v>
      </c>
      <c r="W7" s="3">
        <v>94</v>
      </c>
      <c r="X7" s="3">
        <v>88</v>
      </c>
      <c r="Y7" s="3">
        <v>85.4</v>
      </c>
      <c r="Z7" s="3">
        <f t="shared" si="0"/>
        <v>1861.88</v>
      </c>
      <c r="AA7" s="1">
        <f t="shared" si="1"/>
        <v>88.6609523809524</v>
      </c>
      <c r="AB7" s="1">
        <v>6</v>
      </c>
      <c r="AC7" s="1"/>
    </row>
    <row r="8" spans="1:29">
      <c r="A8" s="1">
        <v>5</v>
      </c>
      <c r="B8" s="1">
        <v>20221614604</v>
      </c>
      <c r="C8" s="1" t="s">
        <v>35</v>
      </c>
      <c r="D8" s="1" t="s">
        <v>29</v>
      </c>
      <c r="E8" s="3">
        <v>92.02</v>
      </c>
      <c r="F8" s="3">
        <v>92.4</v>
      </c>
      <c r="G8" s="3">
        <v>92.53</v>
      </c>
      <c r="H8" s="3">
        <v>86.5</v>
      </c>
      <c r="I8" s="3">
        <v>90</v>
      </c>
      <c r="J8" s="3">
        <v>87.1</v>
      </c>
      <c r="K8" s="3">
        <v>85.95</v>
      </c>
      <c r="L8" s="3">
        <v>91.15</v>
      </c>
      <c r="M8" s="3">
        <v>89.75</v>
      </c>
      <c r="N8" s="3">
        <v>87.68</v>
      </c>
      <c r="O8" s="3">
        <v>85.72</v>
      </c>
      <c r="P8" s="3">
        <v>81.3</v>
      </c>
      <c r="Q8" s="3">
        <v>90.21</v>
      </c>
      <c r="R8" s="3">
        <v>90.93</v>
      </c>
      <c r="S8" s="3">
        <v>90.35</v>
      </c>
      <c r="T8" s="3">
        <v>82.98</v>
      </c>
      <c r="U8" s="3">
        <v>90.88</v>
      </c>
      <c r="V8" s="3">
        <v>89.48</v>
      </c>
      <c r="W8" s="3">
        <v>90.6</v>
      </c>
      <c r="X8" s="3">
        <v>89.3</v>
      </c>
      <c r="Y8" s="3">
        <v>84.23</v>
      </c>
      <c r="Z8" s="3">
        <f t="shared" si="0"/>
        <v>1861.06</v>
      </c>
      <c r="AA8" s="1">
        <f t="shared" si="1"/>
        <v>88.6219047619048</v>
      </c>
      <c r="AB8" s="1">
        <v>7</v>
      </c>
      <c r="AC8" s="1"/>
    </row>
    <row r="9" spans="1:29">
      <c r="A9" s="1">
        <v>18</v>
      </c>
      <c r="B9" s="1">
        <v>20221614716</v>
      </c>
      <c r="C9" s="1" t="s">
        <v>36</v>
      </c>
      <c r="D9" s="1" t="s">
        <v>29</v>
      </c>
      <c r="E9" s="3">
        <v>93.52</v>
      </c>
      <c r="F9" s="3">
        <v>91.55</v>
      </c>
      <c r="G9" s="3">
        <v>88.08</v>
      </c>
      <c r="H9" s="3">
        <v>87</v>
      </c>
      <c r="I9" s="3">
        <v>92.4</v>
      </c>
      <c r="J9" s="3">
        <v>85.6</v>
      </c>
      <c r="K9" s="3">
        <v>86.35</v>
      </c>
      <c r="L9" s="3">
        <v>92.32</v>
      </c>
      <c r="M9" s="3">
        <v>79.3</v>
      </c>
      <c r="N9" s="3">
        <v>84.92</v>
      </c>
      <c r="O9" s="3">
        <v>83.93</v>
      </c>
      <c r="P9" s="3">
        <v>91.1</v>
      </c>
      <c r="Q9" s="3">
        <v>90.16</v>
      </c>
      <c r="R9" s="3">
        <v>88.1</v>
      </c>
      <c r="S9" s="3">
        <v>96.2</v>
      </c>
      <c r="T9" s="3">
        <v>88.39</v>
      </c>
      <c r="U9" s="3">
        <v>89.36</v>
      </c>
      <c r="V9" s="3">
        <v>85.44</v>
      </c>
      <c r="W9" s="3">
        <v>92.8</v>
      </c>
      <c r="X9" s="3">
        <v>91.6</v>
      </c>
      <c r="Y9" s="3">
        <v>77.2</v>
      </c>
      <c r="Z9" s="3">
        <f t="shared" si="0"/>
        <v>1855.32</v>
      </c>
      <c r="AA9" s="1">
        <f t="shared" si="1"/>
        <v>88.3485714285714</v>
      </c>
      <c r="AB9" s="1">
        <v>8</v>
      </c>
      <c r="AC9" s="1"/>
    </row>
    <row r="10" spans="1:29">
      <c r="A10" s="1">
        <v>9</v>
      </c>
      <c r="B10" s="1">
        <v>20221614611</v>
      </c>
      <c r="C10" s="1" t="s">
        <v>37</v>
      </c>
      <c r="D10" s="1" t="s">
        <v>29</v>
      </c>
      <c r="E10" s="3">
        <v>93.06</v>
      </c>
      <c r="F10" s="3">
        <v>90</v>
      </c>
      <c r="G10" s="3">
        <v>92.44</v>
      </c>
      <c r="H10" s="3">
        <v>80</v>
      </c>
      <c r="I10" s="3">
        <v>90</v>
      </c>
      <c r="J10" s="3">
        <v>87.6</v>
      </c>
      <c r="K10" s="3">
        <v>86.05</v>
      </c>
      <c r="L10" s="3">
        <v>85.35</v>
      </c>
      <c r="M10" s="3">
        <v>85.35</v>
      </c>
      <c r="N10" s="3">
        <v>83.42</v>
      </c>
      <c r="O10" s="3">
        <v>83.02</v>
      </c>
      <c r="P10" s="3">
        <v>90.7</v>
      </c>
      <c r="Q10" s="3">
        <v>91.77</v>
      </c>
      <c r="R10" s="3">
        <v>86.45</v>
      </c>
      <c r="S10" s="3">
        <v>81.9</v>
      </c>
      <c r="T10" s="3">
        <v>87.32</v>
      </c>
      <c r="U10" s="3">
        <v>90.44</v>
      </c>
      <c r="V10" s="3">
        <v>89.16</v>
      </c>
      <c r="W10" s="3">
        <v>91</v>
      </c>
      <c r="X10" s="3">
        <v>88.6</v>
      </c>
      <c r="Y10" s="3">
        <v>86.25</v>
      </c>
      <c r="Z10" s="3">
        <f t="shared" si="0"/>
        <v>1839.88</v>
      </c>
      <c r="AA10" s="1">
        <f t="shared" si="1"/>
        <v>87.6133333333333</v>
      </c>
      <c r="AB10" s="1">
        <v>9</v>
      </c>
      <c r="AC10" s="1"/>
    </row>
    <row r="11" spans="1:29">
      <c r="A11" s="1">
        <v>6</v>
      </c>
      <c r="B11" s="1">
        <v>20221614608</v>
      </c>
      <c r="C11" s="1" t="s">
        <v>38</v>
      </c>
      <c r="D11" s="1" t="s">
        <v>29</v>
      </c>
      <c r="E11" s="3">
        <v>92.18</v>
      </c>
      <c r="F11" s="3">
        <v>89.25</v>
      </c>
      <c r="G11" s="3">
        <v>87.39</v>
      </c>
      <c r="H11" s="3">
        <v>86.5</v>
      </c>
      <c r="I11" s="3">
        <v>90</v>
      </c>
      <c r="J11" s="3">
        <v>89.1</v>
      </c>
      <c r="K11" s="3">
        <v>85.4</v>
      </c>
      <c r="L11" s="3">
        <v>95.88</v>
      </c>
      <c r="M11" s="3">
        <v>85.25</v>
      </c>
      <c r="N11" s="3">
        <v>87.55</v>
      </c>
      <c r="O11" s="3">
        <v>81.1</v>
      </c>
      <c r="P11" s="3">
        <v>83.8</v>
      </c>
      <c r="Q11" s="3">
        <v>86.49</v>
      </c>
      <c r="R11" s="3">
        <v>88.63</v>
      </c>
      <c r="S11" s="3">
        <v>86.8</v>
      </c>
      <c r="T11" s="3">
        <v>82.04</v>
      </c>
      <c r="U11" s="3">
        <v>92.5</v>
      </c>
      <c r="V11" s="3">
        <v>84</v>
      </c>
      <c r="W11" s="3">
        <v>88.4</v>
      </c>
      <c r="X11" s="3">
        <v>90.4</v>
      </c>
      <c r="Y11" s="3">
        <v>84.25</v>
      </c>
      <c r="Z11" s="3">
        <f t="shared" si="0"/>
        <v>1836.91</v>
      </c>
      <c r="AA11" s="1">
        <f t="shared" si="1"/>
        <v>87.4719047619048</v>
      </c>
      <c r="AB11" s="1">
        <v>10</v>
      </c>
      <c r="AC11" s="1"/>
    </row>
    <row r="12" spans="1:29">
      <c r="A12" s="1">
        <v>31</v>
      </c>
      <c r="B12" s="1">
        <v>20221614802</v>
      </c>
      <c r="C12" s="1" t="s">
        <v>39</v>
      </c>
      <c r="D12" s="1" t="s">
        <v>29</v>
      </c>
      <c r="E12" s="3">
        <v>89.98</v>
      </c>
      <c r="F12" s="3">
        <v>87.2</v>
      </c>
      <c r="G12" s="3">
        <v>93.01</v>
      </c>
      <c r="H12" s="3">
        <v>82</v>
      </c>
      <c r="I12" s="3">
        <v>89.05</v>
      </c>
      <c r="J12" s="3">
        <v>88.05</v>
      </c>
      <c r="K12" s="3">
        <v>81.8</v>
      </c>
      <c r="L12" s="3">
        <v>92.13</v>
      </c>
      <c r="M12" s="3">
        <v>81.75</v>
      </c>
      <c r="N12" s="3">
        <v>85.15</v>
      </c>
      <c r="O12" s="3">
        <v>87.05</v>
      </c>
      <c r="P12" s="3">
        <v>83.1</v>
      </c>
      <c r="Q12" s="3">
        <v>86.19</v>
      </c>
      <c r="R12" s="3">
        <v>83.95</v>
      </c>
      <c r="S12" s="3">
        <v>86.15</v>
      </c>
      <c r="T12" s="3">
        <v>88.27</v>
      </c>
      <c r="U12" s="3">
        <v>89.58</v>
      </c>
      <c r="V12" s="3">
        <v>89.14</v>
      </c>
      <c r="W12" s="3">
        <v>89.2</v>
      </c>
      <c r="X12" s="3">
        <v>88.7</v>
      </c>
      <c r="Y12" s="3">
        <v>90.03</v>
      </c>
      <c r="Z12" s="3">
        <f t="shared" si="0"/>
        <v>1831.48</v>
      </c>
      <c r="AA12" s="1">
        <f t="shared" si="1"/>
        <v>87.2133333333333</v>
      </c>
      <c r="AB12" s="1">
        <v>11</v>
      </c>
      <c r="AC12" s="1"/>
    </row>
    <row r="13" spans="1:29">
      <c r="A13" s="1">
        <v>33</v>
      </c>
      <c r="B13" s="1">
        <v>20221614811</v>
      </c>
      <c r="C13" s="1" t="s">
        <v>40</v>
      </c>
      <c r="D13" s="1" t="s">
        <v>29</v>
      </c>
      <c r="E13" s="3">
        <v>90.86</v>
      </c>
      <c r="F13" s="3">
        <v>89.2</v>
      </c>
      <c r="G13" s="3">
        <v>90.97</v>
      </c>
      <c r="H13" s="3">
        <v>80</v>
      </c>
      <c r="I13" s="3">
        <v>89.05</v>
      </c>
      <c r="J13" s="3">
        <v>88.6</v>
      </c>
      <c r="K13" s="3">
        <v>88.05</v>
      </c>
      <c r="L13" s="3">
        <v>84.9</v>
      </c>
      <c r="M13" s="3">
        <v>77.65</v>
      </c>
      <c r="N13" s="3">
        <v>84.63</v>
      </c>
      <c r="O13" s="3">
        <v>78.13</v>
      </c>
      <c r="P13" s="3">
        <v>79.9</v>
      </c>
      <c r="Q13" s="3">
        <v>91.41</v>
      </c>
      <c r="R13" s="3">
        <v>85.58</v>
      </c>
      <c r="S13" s="3">
        <v>87.7</v>
      </c>
      <c r="T13" s="3">
        <v>85.89</v>
      </c>
      <c r="U13" s="3">
        <v>91.36</v>
      </c>
      <c r="V13" s="3">
        <v>87.04</v>
      </c>
      <c r="W13" s="3">
        <v>92</v>
      </c>
      <c r="X13" s="3">
        <v>88.63</v>
      </c>
      <c r="Y13" s="3">
        <v>85.6</v>
      </c>
      <c r="Z13" s="3">
        <f t="shared" si="0"/>
        <v>1817.15</v>
      </c>
      <c r="AA13" s="1">
        <f t="shared" si="1"/>
        <v>86.5309523809524</v>
      </c>
      <c r="AB13" s="1">
        <v>12</v>
      </c>
      <c r="AC13" s="1"/>
    </row>
    <row r="14" spans="1:29">
      <c r="A14" s="1">
        <v>36</v>
      </c>
      <c r="B14" s="1">
        <v>20221614826</v>
      </c>
      <c r="C14" s="1" t="s">
        <v>41</v>
      </c>
      <c r="D14" s="1" t="s">
        <v>29</v>
      </c>
      <c r="E14" s="3">
        <v>89.92</v>
      </c>
      <c r="F14" s="3">
        <v>87.5</v>
      </c>
      <c r="G14" s="3">
        <v>92.95</v>
      </c>
      <c r="H14" s="3">
        <v>86</v>
      </c>
      <c r="I14" s="3">
        <v>91.9</v>
      </c>
      <c r="J14" s="3">
        <v>87.55</v>
      </c>
      <c r="K14" s="3">
        <v>88.1</v>
      </c>
      <c r="L14" s="3">
        <v>88.12</v>
      </c>
      <c r="M14" s="3">
        <v>80.45</v>
      </c>
      <c r="N14" s="3">
        <v>80.05</v>
      </c>
      <c r="O14" s="3">
        <v>78.5</v>
      </c>
      <c r="P14" s="3">
        <v>80.1</v>
      </c>
      <c r="Q14" s="3">
        <v>85.98</v>
      </c>
      <c r="R14" s="3">
        <v>83.43</v>
      </c>
      <c r="S14" s="3">
        <v>86.1</v>
      </c>
      <c r="T14" s="3">
        <v>87.62</v>
      </c>
      <c r="U14" s="3">
        <v>89.34</v>
      </c>
      <c r="V14" s="3">
        <v>84.22</v>
      </c>
      <c r="W14" s="3">
        <v>90.4</v>
      </c>
      <c r="X14" s="3">
        <v>89.8</v>
      </c>
      <c r="Y14" s="3">
        <v>85.78</v>
      </c>
      <c r="Z14" s="3">
        <f t="shared" si="0"/>
        <v>1813.81</v>
      </c>
      <c r="AA14" s="1">
        <f t="shared" si="1"/>
        <v>86.3719047619048</v>
      </c>
      <c r="AB14" s="1">
        <v>13</v>
      </c>
      <c r="AC14" s="1"/>
    </row>
    <row r="15" spans="1:29">
      <c r="A15" s="1">
        <v>43</v>
      </c>
      <c r="B15" s="1">
        <v>20221614842</v>
      </c>
      <c r="C15" s="1" t="s">
        <v>42</v>
      </c>
      <c r="D15" s="1" t="s">
        <v>29</v>
      </c>
      <c r="E15" s="3">
        <v>89.52</v>
      </c>
      <c r="F15" s="3">
        <v>87.9</v>
      </c>
      <c r="G15" s="3">
        <v>89.23</v>
      </c>
      <c r="H15" s="3">
        <v>82.5</v>
      </c>
      <c r="I15" s="3">
        <v>91.9</v>
      </c>
      <c r="J15" s="3">
        <v>87.1</v>
      </c>
      <c r="K15" s="3">
        <v>84.55</v>
      </c>
      <c r="L15" s="3">
        <v>86.22</v>
      </c>
      <c r="M15" s="3">
        <v>81.65</v>
      </c>
      <c r="N15" s="3">
        <v>85.65</v>
      </c>
      <c r="O15" s="3">
        <v>77.22</v>
      </c>
      <c r="P15" s="3">
        <v>81.74</v>
      </c>
      <c r="Q15" s="3">
        <v>90.04</v>
      </c>
      <c r="R15" s="3">
        <v>80.13</v>
      </c>
      <c r="S15" s="3">
        <v>87.55</v>
      </c>
      <c r="T15" s="3">
        <v>85.79</v>
      </c>
      <c r="U15" s="3">
        <v>84.85</v>
      </c>
      <c r="V15" s="3">
        <v>88.84</v>
      </c>
      <c r="W15" s="3">
        <v>92</v>
      </c>
      <c r="X15" s="3">
        <v>84.14</v>
      </c>
      <c r="Y15" s="3">
        <v>85.93</v>
      </c>
      <c r="Z15" s="3">
        <f t="shared" si="0"/>
        <v>1804.45</v>
      </c>
      <c r="AA15" s="1">
        <f t="shared" si="1"/>
        <v>85.9261904761905</v>
      </c>
      <c r="AB15" s="1">
        <v>14</v>
      </c>
      <c r="AC15" s="1"/>
    </row>
    <row r="16" spans="1:29">
      <c r="A16" s="1">
        <v>17</v>
      </c>
      <c r="B16" s="1">
        <v>20221614714</v>
      </c>
      <c r="C16" s="1" t="s">
        <v>43</v>
      </c>
      <c r="D16" s="1" t="s">
        <v>29</v>
      </c>
      <c r="E16" s="3">
        <v>90.62</v>
      </c>
      <c r="F16" s="3">
        <v>90.4</v>
      </c>
      <c r="G16" s="3">
        <v>84.43</v>
      </c>
      <c r="H16" s="3">
        <v>80</v>
      </c>
      <c r="I16" s="3">
        <v>88.35</v>
      </c>
      <c r="J16" s="3">
        <v>89.6</v>
      </c>
      <c r="K16" s="3">
        <v>82.15</v>
      </c>
      <c r="L16" s="3">
        <v>88.17</v>
      </c>
      <c r="M16" s="3">
        <v>85.4</v>
      </c>
      <c r="N16" s="3">
        <v>86.37</v>
      </c>
      <c r="O16" s="3">
        <v>76.32</v>
      </c>
      <c r="P16" s="3">
        <v>87.7</v>
      </c>
      <c r="Q16" s="3">
        <v>87.48</v>
      </c>
      <c r="R16" s="3">
        <v>80.93</v>
      </c>
      <c r="S16" s="3">
        <v>86.2</v>
      </c>
      <c r="T16" s="3">
        <v>88.05</v>
      </c>
      <c r="U16" s="3">
        <v>89.63</v>
      </c>
      <c r="V16" s="3">
        <v>86.26</v>
      </c>
      <c r="W16" s="3">
        <v>90.4</v>
      </c>
      <c r="X16" s="3">
        <v>85.1</v>
      </c>
      <c r="Y16" s="3">
        <v>79.95</v>
      </c>
      <c r="Z16" s="3">
        <f t="shared" si="0"/>
        <v>1803.51</v>
      </c>
      <c r="AA16" s="1">
        <f t="shared" si="1"/>
        <v>85.8814285714286</v>
      </c>
      <c r="AB16" s="1">
        <v>15</v>
      </c>
      <c r="AC16" s="1"/>
    </row>
    <row r="17" spans="1:29">
      <c r="A17" s="1">
        <v>19</v>
      </c>
      <c r="B17" s="1">
        <v>20221614717</v>
      </c>
      <c r="C17" s="1" t="s">
        <v>44</v>
      </c>
      <c r="D17" s="1" t="s">
        <v>29</v>
      </c>
      <c r="E17" s="3">
        <v>87.11</v>
      </c>
      <c r="F17" s="3">
        <v>89.4</v>
      </c>
      <c r="G17" s="3">
        <v>89.19</v>
      </c>
      <c r="H17" s="3">
        <v>83</v>
      </c>
      <c r="I17" s="3">
        <v>88.35</v>
      </c>
      <c r="J17" s="3">
        <v>87</v>
      </c>
      <c r="K17" s="3">
        <v>80.8</v>
      </c>
      <c r="L17" s="3">
        <v>88.15</v>
      </c>
      <c r="M17" s="3">
        <v>83.75</v>
      </c>
      <c r="N17" s="3">
        <v>77.33</v>
      </c>
      <c r="O17" s="3">
        <v>80.25</v>
      </c>
      <c r="P17" s="3">
        <v>89.8</v>
      </c>
      <c r="Q17" s="3">
        <v>88.47</v>
      </c>
      <c r="R17" s="3">
        <v>82.33</v>
      </c>
      <c r="S17" s="3">
        <v>86.9</v>
      </c>
      <c r="T17" s="3">
        <v>86.26</v>
      </c>
      <c r="U17" s="3">
        <v>89.3</v>
      </c>
      <c r="V17" s="3">
        <v>84</v>
      </c>
      <c r="W17" s="3">
        <v>87.4</v>
      </c>
      <c r="X17" s="3">
        <v>87.4</v>
      </c>
      <c r="Y17" s="3">
        <v>86.5</v>
      </c>
      <c r="Z17" s="3">
        <f t="shared" si="0"/>
        <v>1802.69</v>
      </c>
      <c r="AA17" s="1">
        <f t="shared" si="1"/>
        <v>85.8423809523809</v>
      </c>
      <c r="AB17" s="1">
        <v>16</v>
      </c>
      <c r="AC17" s="1"/>
    </row>
    <row r="18" spans="1:29">
      <c r="A18" s="1">
        <v>7</v>
      </c>
      <c r="B18" s="1">
        <v>20221614609</v>
      </c>
      <c r="C18" s="1" t="s">
        <v>45</v>
      </c>
      <c r="D18" s="1" t="s">
        <v>29</v>
      </c>
      <c r="E18" s="3">
        <v>82.96</v>
      </c>
      <c r="F18" s="3">
        <v>84.5</v>
      </c>
      <c r="G18" s="3">
        <v>87.99</v>
      </c>
      <c r="H18" s="3">
        <v>67.5</v>
      </c>
      <c r="I18" s="3">
        <v>86.2</v>
      </c>
      <c r="J18" s="3">
        <v>88.5</v>
      </c>
      <c r="K18" s="3">
        <v>78.35</v>
      </c>
      <c r="L18" s="3">
        <v>89.55</v>
      </c>
      <c r="M18" s="3">
        <v>83.35</v>
      </c>
      <c r="N18" s="3">
        <v>77.95</v>
      </c>
      <c r="O18" s="3">
        <v>79.25</v>
      </c>
      <c r="P18" s="3">
        <v>85.78</v>
      </c>
      <c r="Q18" s="3">
        <v>80.67</v>
      </c>
      <c r="R18" s="3">
        <v>79.73</v>
      </c>
      <c r="S18" s="3">
        <v>86.9</v>
      </c>
      <c r="T18" s="3">
        <v>82.62</v>
      </c>
      <c r="U18" s="3">
        <v>83.54</v>
      </c>
      <c r="V18" s="3">
        <v>85.73</v>
      </c>
      <c r="W18" s="3">
        <v>89.8</v>
      </c>
      <c r="X18" s="3">
        <v>85.7</v>
      </c>
      <c r="Y18" s="3">
        <v>86.03</v>
      </c>
      <c r="Z18" s="3">
        <f t="shared" si="0"/>
        <v>1752.6</v>
      </c>
      <c r="AA18" s="1">
        <f t="shared" si="1"/>
        <v>83.4571428571429</v>
      </c>
      <c r="AB18" s="1">
        <v>17</v>
      </c>
      <c r="AC18" s="1"/>
    </row>
    <row r="19" spans="1:29">
      <c r="A19" s="1">
        <v>27</v>
      </c>
      <c r="B19" s="1">
        <v>20221614746</v>
      </c>
      <c r="C19" s="1" t="s">
        <v>46</v>
      </c>
      <c r="D19" s="1" t="s">
        <v>29</v>
      </c>
      <c r="E19" s="3">
        <v>82.67</v>
      </c>
      <c r="F19" s="3">
        <v>84.5</v>
      </c>
      <c r="G19" s="3">
        <v>85.09</v>
      </c>
      <c r="H19" s="3">
        <v>85</v>
      </c>
      <c r="I19" s="3">
        <v>90.75</v>
      </c>
      <c r="J19" s="3">
        <v>85.1</v>
      </c>
      <c r="K19" s="3">
        <v>72.7</v>
      </c>
      <c r="L19" s="3">
        <v>84.36</v>
      </c>
      <c r="M19" s="3">
        <v>81.05</v>
      </c>
      <c r="N19" s="3">
        <v>71.97</v>
      </c>
      <c r="O19" s="3">
        <v>75.93</v>
      </c>
      <c r="P19" s="3">
        <v>83.9</v>
      </c>
      <c r="Q19" s="3">
        <v>86.3</v>
      </c>
      <c r="R19" s="3">
        <v>87.65</v>
      </c>
      <c r="S19" s="3">
        <v>84.05</v>
      </c>
      <c r="T19" s="3">
        <v>80.82</v>
      </c>
      <c r="U19" s="3">
        <v>87.28</v>
      </c>
      <c r="V19" s="3">
        <v>85.22</v>
      </c>
      <c r="W19" s="3">
        <v>87.2</v>
      </c>
      <c r="X19" s="3">
        <v>89.42</v>
      </c>
      <c r="Y19" s="3">
        <v>79.93</v>
      </c>
      <c r="Z19" s="3">
        <f t="shared" si="0"/>
        <v>1750.89</v>
      </c>
      <c r="AA19" s="1">
        <f t="shared" si="1"/>
        <v>83.3757142857143</v>
      </c>
      <c r="AB19" s="1">
        <v>18</v>
      </c>
      <c r="AC19" s="1"/>
    </row>
    <row r="20" spans="1:29">
      <c r="A20" s="1">
        <v>1</v>
      </c>
      <c r="B20" s="1">
        <v>20221613839</v>
      </c>
      <c r="C20" s="1" t="s">
        <v>47</v>
      </c>
      <c r="D20" s="1" t="s">
        <v>29</v>
      </c>
      <c r="E20" s="3">
        <v>90.3</v>
      </c>
      <c r="F20" s="3">
        <v>89.35</v>
      </c>
      <c r="G20" s="3">
        <v>89.17</v>
      </c>
      <c r="H20" s="3">
        <v>83</v>
      </c>
      <c r="I20" s="3">
        <v>91.9</v>
      </c>
      <c r="J20" s="3">
        <v>92</v>
      </c>
      <c r="K20" s="3">
        <v>76.95</v>
      </c>
      <c r="L20" s="3">
        <v>81.78</v>
      </c>
      <c r="M20" s="3">
        <v>81.8</v>
      </c>
      <c r="N20" s="3">
        <v>78.63</v>
      </c>
      <c r="O20" s="3">
        <v>75.73</v>
      </c>
      <c r="P20" s="3">
        <v>87.98</v>
      </c>
      <c r="Q20" s="3">
        <v>87.56</v>
      </c>
      <c r="R20" s="3">
        <v>82.83</v>
      </c>
      <c r="S20" s="3">
        <v>80.8</v>
      </c>
      <c r="T20" s="3">
        <v>76.69</v>
      </c>
      <c r="U20" s="3">
        <v>80.14</v>
      </c>
      <c r="V20" s="3">
        <v>79.13</v>
      </c>
      <c r="W20" s="3">
        <v>85.2</v>
      </c>
      <c r="X20" s="3">
        <v>77.36</v>
      </c>
      <c r="Y20" s="3">
        <v>80.65</v>
      </c>
      <c r="Z20" s="3">
        <f t="shared" si="0"/>
        <v>1748.95</v>
      </c>
      <c r="AA20" s="1">
        <f t="shared" si="1"/>
        <v>83.2833333333333</v>
      </c>
      <c r="AB20" s="1">
        <v>19</v>
      </c>
      <c r="AC20" s="1"/>
    </row>
    <row r="21" spans="1:29">
      <c r="A21" s="1">
        <v>39</v>
      </c>
      <c r="B21" s="1">
        <v>20221614833</v>
      </c>
      <c r="C21" s="1" t="s">
        <v>48</v>
      </c>
      <c r="D21" s="1" t="s">
        <v>29</v>
      </c>
      <c r="E21" s="3">
        <v>85.76</v>
      </c>
      <c r="F21" s="3">
        <v>87.35</v>
      </c>
      <c r="G21" s="3">
        <v>87.37</v>
      </c>
      <c r="H21" s="3">
        <v>78.5</v>
      </c>
      <c r="I21" s="3">
        <v>90.5</v>
      </c>
      <c r="J21" s="3">
        <v>87.6</v>
      </c>
      <c r="K21" s="3">
        <v>82.9</v>
      </c>
      <c r="L21" s="3">
        <v>78.83</v>
      </c>
      <c r="M21" s="3">
        <v>77</v>
      </c>
      <c r="N21" s="3">
        <v>76.12</v>
      </c>
      <c r="O21" s="3">
        <v>73.23</v>
      </c>
      <c r="P21" s="3">
        <v>89</v>
      </c>
      <c r="Q21" s="3">
        <v>86.86</v>
      </c>
      <c r="R21" s="3">
        <v>80.48</v>
      </c>
      <c r="S21" s="3">
        <v>83.3</v>
      </c>
      <c r="T21" s="3">
        <v>78.48</v>
      </c>
      <c r="U21" s="3">
        <v>80.62</v>
      </c>
      <c r="V21" s="3">
        <v>83.89</v>
      </c>
      <c r="W21" s="3">
        <v>84.6</v>
      </c>
      <c r="X21" s="3">
        <v>88.55</v>
      </c>
      <c r="Y21" s="3">
        <v>73.88</v>
      </c>
      <c r="Z21" s="3">
        <f t="shared" si="0"/>
        <v>1734.82</v>
      </c>
      <c r="AA21" s="1">
        <f t="shared" si="1"/>
        <v>82.6104761904762</v>
      </c>
      <c r="AB21" s="1">
        <v>20</v>
      </c>
      <c r="AC21" s="1"/>
    </row>
    <row r="22" spans="1:29">
      <c r="A22" s="1">
        <v>45</v>
      </c>
      <c r="B22" s="1">
        <v>20221614844</v>
      </c>
      <c r="C22" s="1" t="s">
        <v>49</v>
      </c>
      <c r="D22" s="1" t="s">
        <v>29</v>
      </c>
      <c r="E22" s="3">
        <v>88</v>
      </c>
      <c r="F22" s="3">
        <v>90.2</v>
      </c>
      <c r="G22" s="3">
        <v>83.14</v>
      </c>
      <c r="H22" s="3">
        <v>81</v>
      </c>
      <c r="I22" s="3">
        <v>90</v>
      </c>
      <c r="J22" s="3">
        <v>87.05</v>
      </c>
      <c r="K22" s="3">
        <v>78.75</v>
      </c>
      <c r="L22" s="3">
        <v>84.35</v>
      </c>
      <c r="M22" s="3">
        <v>74.5</v>
      </c>
      <c r="N22" s="3">
        <v>75.55</v>
      </c>
      <c r="O22" s="3">
        <v>84.37</v>
      </c>
      <c r="P22" s="3">
        <v>84.02</v>
      </c>
      <c r="Q22" s="3">
        <v>82.74</v>
      </c>
      <c r="R22" s="3">
        <v>80.1</v>
      </c>
      <c r="S22" s="3">
        <v>81.8</v>
      </c>
      <c r="T22" s="3">
        <v>75.04</v>
      </c>
      <c r="U22" s="3">
        <v>82.55</v>
      </c>
      <c r="V22" s="3">
        <v>81.76</v>
      </c>
      <c r="W22" s="3">
        <v>86.2</v>
      </c>
      <c r="X22" s="3">
        <v>85.45</v>
      </c>
      <c r="Y22" s="3">
        <v>76.75</v>
      </c>
      <c r="Z22" s="3">
        <f t="shared" si="0"/>
        <v>1733.32</v>
      </c>
      <c r="AA22" s="1">
        <f t="shared" si="1"/>
        <v>82.5390476190476</v>
      </c>
      <c r="AB22" s="1">
        <v>21</v>
      </c>
      <c r="AC22" s="1"/>
    </row>
    <row r="23" spans="1:29">
      <c r="A23" s="1">
        <v>40</v>
      </c>
      <c r="B23" s="1">
        <v>20221614838</v>
      </c>
      <c r="C23" s="1" t="s">
        <v>50</v>
      </c>
      <c r="D23" s="1" t="s">
        <v>29</v>
      </c>
      <c r="E23" s="3">
        <v>93.12</v>
      </c>
      <c r="F23" s="3">
        <v>84.05</v>
      </c>
      <c r="G23" s="3">
        <v>89.16</v>
      </c>
      <c r="H23" s="3">
        <v>82</v>
      </c>
      <c r="I23" s="3">
        <v>90</v>
      </c>
      <c r="J23" s="3">
        <v>89</v>
      </c>
      <c r="K23" s="3">
        <v>81.15</v>
      </c>
      <c r="L23" s="3">
        <v>82.62</v>
      </c>
      <c r="M23" s="3">
        <v>79.15</v>
      </c>
      <c r="N23" s="3">
        <v>83.62</v>
      </c>
      <c r="O23" s="4">
        <v>18.4</v>
      </c>
      <c r="P23" s="3">
        <v>81.66</v>
      </c>
      <c r="Q23" s="3">
        <v>88.54</v>
      </c>
      <c r="R23" s="3">
        <v>82.58</v>
      </c>
      <c r="S23" s="3">
        <v>83.4</v>
      </c>
      <c r="T23" s="3">
        <v>86.62</v>
      </c>
      <c r="U23" s="3">
        <v>90.2</v>
      </c>
      <c r="V23" s="3">
        <v>86.26</v>
      </c>
      <c r="W23" s="3">
        <v>89.2</v>
      </c>
      <c r="X23" s="3">
        <v>88.6</v>
      </c>
      <c r="Y23" s="3">
        <v>83.38</v>
      </c>
      <c r="Z23" s="3">
        <f t="shared" si="0"/>
        <v>1732.71</v>
      </c>
      <c r="AA23" s="1">
        <f t="shared" si="1"/>
        <v>82.51</v>
      </c>
      <c r="AB23" s="1">
        <v>22</v>
      </c>
      <c r="AC23" s="1"/>
    </row>
    <row r="24" spans="1:29">
      <c r="A24" s="1">
        <v>44</v>
      </c>
      <c r="B24" s="1">
        <v>20221614843</v>
      </c>
      <c r="C24" s="1" t="s">
        <v>51</v>
      </c>
      <c r="D24" s="1" t="s">
        <v>29</v>
      </c>
      <c r="E24" s="3">
        <v>87.47</v>
      </c>
      <c r="F24" s="3">
        <v>85</v>
      </c>
      <c r="G24" s="3">
        <v>86.08</v>
      </c>
      <c r="H24" s="3">
        <v>70.5</v>
      </c>
      <c r="I24" s="3">
        <v>91.01</v>
      </c>
      <c r="J24" s="3">
        <v>91.1</v>
      </c>
      <c r="K24" s="3">
        <v>90</v>
      </c>
      <c r="L24" s="3">
        <v>86.5</v>
      </c>
      <c r="M24" s="3">
        <v>77.45</v>
      </c>
      <c r="N24" s="3">
        <v>76.71</v>
      </c>
      <c r="O24" s="3">
        <v>71.15</v>
      </c>
      <c r="P24" s="3">
        <v>80.42</v>
      </c>
      <c r="Q24" s="3">
        <v>84.08</v>
      </c>
      <c r="R24" s="3">
        <v>79.43</v>
      </c>
      <c r="S24" s="3">
        <v>79.95</v>
      </c>
      <c r="T24" s="3">
        <v>82.52</v>
      </c>
      <c r="U24" s="3">
        <v>88</v>
      </c>
      <c r="V24" s="3">
        <v>78.27</v>
      </c>
      <c r="W24" s="3">
        <v>88</v>
      </c>
      <c r="X24" s="3">
        <v>77.75</v>
      </c>
      <c r="Y24" s="3">
        <v>81.18</v>
      </c>
      <c r="Z24" s="3">
        <f t="shared" si="0"/>
        <v>1732.57</v>
      </c>
      <c r="AA24" s="1">
        <f t="shared" si="1"/>
        <v>82.5033333333333</v>
      </c>
      <c r="AB24" s="1">
        <v>23</v>
      </c>
      <c r="AC24" s="1"/>
    </row>
    <row r="25" spans="1:29">
      <c r="A25" s="1">
        <v>42</v>
      </c>
      <c r="B25" s="1">
        <v>20221614841</v>
      </c>
      <c r="C25" s="1" t="s">
        <v>52</v>
      </c>
      <c r="D25" s="1" t="s">
        <v>29</v>
      </c>
      <c r="E25" s="3">
        <v>87.38</v>
      </c>
      <c r="F25" s="3">
        <v>83.49</v>
      </c>
      <c r="G25" s="3">
        <v>84.87</v>
      </c>
      <c r="H25" s="3">
        <v>66.5</v>
      </c>
      <c r="I25" s="3">
        <v>90.25</v>
      </c>
      <c r="J25" s="3">
        <v>86.1</v>
      </c>
      <c r="K25" s="3">
        <v>79.95</v>
      </c>
      <c r="L25" s="3">
        <v>80.22</v>
      </c>
      <c r="M25" s="3">
        <v>74.95</v>
      </c>
      <c r="N25" s="3">
        <v>81.05</v>
      </c>
      <c r="O25" s="3">
        <v>76.7</v>
      </c>
      <c r="P25" s="3">
        <v>80.96</v>
      </c>
      <c r="Q25" s="3">
        <v>85.68</v>
      </c>
      <c r="R25" s="3">
        <v>80.53</v>
      </c>
      <c r="S25" s="3">
        <v>79.7</v>
      </c>
      <c r="T25" s="3">
        <v>77.44</v>
      </c>
      <c r="U25" s="3">
        <v>86.56</v>
      </c>
      <c r="V25" s="3">
        <v>82.64</v>
      </c>
      <c r="W25" s="3">
        <v>86.6</v>
      </c>
      <c r="X25" s="3">
        <v>88</v>
      </c>
      <c r="Y25" s="3">
        <v>76.1</v>
      </c>
      <c r="Z25" s="3">
        <f t="shared" si="0"/>
        <v>1715.67</v>
      </c>
      <c r="AA25" s="1">
        <f t="shared" si="1"/>
        <v>81.6985714285714</v>
      </c>
      <c r="AB25" s="1">
        <v>24</v>
      </c>
      <c r="AC25" s="1"/>
    </row>
    <row r="26" spans="1:29">
      <c r="A26" s="1">
        <v>11</v>
      </c>
      <c r="B26" s="1">
        <v>20221614628</v>
      </c>
      <c r="C26" s="1" t="s">
        <v>53</v>
      </c>
      <c r="D26" s="1" t="s">
        <v>29</v>
      </c>
      <c r="E26" s="3">
        <v>85.53</v>
      </c>
      <c r="F26" s="3">
        <v>81.26</v>
      </c>
      <c r="G26" s="3">
        <v>83.56</v>
      </c>
      <c r="H26" s="3">
        <v>82</v>
      </c>
      <c r="I26" s="3">
        <v>90</v>
      </c>
      <c r="J26" s="3">
        <v>88</v>
      </c>
      <c r="K26" s="3">
        <v>74.7</v>
      </c>
      <c r="L26" s="3">
        <v>82.12</v>
      </c>
      <c r="M26" s="3">
        <v>77.35</v>
      </c>
      <c r="N26" s="3">
        <v>68.7</v>
      </c>
      <c r="O26" s="3">
        <v>77.78</v>
      </c>
      <c r="P26" s="3">
        <v>84.2</v>
      </c>
      <c r="Q26" s="3">
        <v>85.91</v>
      </c>
      <c r="R26" s="3">
        <v>77.95</v>
      </c>
      <c r="S26" s="3">
        <v>79.85</v>
      </c>
      <c r="T26" s="3">
        <v>81.73</v>
      </c>
      <c r="U26" s="3">
        <v>83.94</v>
      </c>
      <c r="V26" s="3">
        <v>80.72</v>
      </c>
      <c r="W26" s="3">
        <v>84.6</v>
      </c>
      <c r="X26" s="3">
        <v>84.25</v>
      </c>
      <c r="Y26" s="3">
        <v>76.3</v>
      </c>
      <c r="Z26" s="3">
        <f t="shared" si="0"/>
        <v>1710.45</v>
      </c>
      <c r="AA26" s="1">
        <f t="shared" si="1"/>
        <v>81.45</v>
      </c>
      <c r="AB26" s="1">
        <v>25</v>
      </c>
      <c r="AC26" s="1"/>
    </row>
    <row r="27" spans="1:29">
      <c r="A27" s="1">
        <v>21</v>
      </c>
      <c r="B27" s="1">
        <v>20221614734</v>
      </c>
      <c r="C27" s="1" t="s">
        <v>54</v>
      </c>
      <c r="D27" s="1" t="s">
        <v>29</v>
      </c>
      <c r="E27" s="3">
        <v>85.3</v>
      </c>
      <c r="F27" s="3">
        <v>80.4</v>
      </c>
      <c r="G27" s="3">
        <v>85.43</v>
      </c>
      <c r="H27" s="3">
        <v>80</v>
      </c>
      <c r="I27" s="3">
        <v>88.85</v>
      </c>
      <c r="J27" s="3">
        <v>87.05</v>
      </c>
      <c r="K27" s="3">
        <v>66.7</v>
      </c>
      <c r="L27" s="3">
        <v>87.1</v>
      </c>
      <c r="M27" s="3">
        <v>76.85</v>
      </c>
      <c r="N27" s="3">
        <v>76.66</v>
      </c>
      <c r="O27" s="3">
        <v>68.07</v>
      </c>
      <c r="P27" s="3">
        <v>81.78</v>
      </c>
      <c r="Q27" s="3">
        <v>83.95</v>
      </c>
      <c r="R27" s="3">
        <v>78.8</v>
      </c>
      <c r="S27" s="3">
        <v>83.95</v>
      </c>
      <c r="T27" s="3">
        <v>84.06</v>
      </c>
      <c r="U27" s="3">
        <v>83.16</v>
      </c>
      <c r="V27" s="3">
        <v>75.17</v>
      </c>
      <c r="W27" s="3">
        <v>89.2</v>
      </c>
      <c r="X27" s="3">
        <v>89.06</v>
      </c>
      <c r="Y27" s="3">
        <v>77.8</v>
      </c>
      <c r="Z27" s="3">
        <f t="shared" si="0"/>
        <v>1709.34</v>
      </c>
      <c r="AA27" s="1">
        <f t="shared" si="1"/>
        <v>81.3971428571429</v>
      </c>
      <c r="AB27" s="1">
        <v>26</v>
      </c>
      <c r="AC27" s="1"/>
    </row>
    <row r="28" spans="1:29">
      <c r="A28" s="1">
        <v>30</v>
      </c>
      <c r="B28" s="1" t="s">
        <v>55</v>
      </c>
      <c r="C28" s="1" t="s">
        <v>56</v>
      </c>
      <c r="D28" s="1" t="s">
        <v>29</v>
      </c>
      <c r="E28" s="3">
        <v>91.01</v>
      </c>
      <c r="F28" s="3">
        <v>81.5</v>
      </c>
      <c r="G28" s="3">
        <v>90.84</v>
      </c>
      <c r="H28" s="3">
        <v>80.5</v>
      </c>
      <c r="I28" s="3">
        <v>91.9</v>
      </c>
      <c r="J28" s="3">
        <v>86.6</v>
      </c>
      <c r="K28" s="3">
        <v>81.3</v>
      </c>
      <c r="L28" s="3">
        <v>81.48</v>
      </c>
      <c r="M28" s="3">
        <v>80.25</v>
      </c>
      <c r="N28" s="4">
        <v>20.4</v>
      </c>
      <c r="O28" s="3">
        <v>74.05</v>
      </c>
      <c r="P28" s="3">
        <v>88.48</v>
      </c>
      <c r="Q28" s="3">
        <v>85.59</v>
      </c>
      <c r="R28" s="3">
        <v>82.9</v>
      </c>
      <c r="S28" s="3">
        <v>81.1</v>
      </c>
      <c r="T28" s="3">
        <v>79.18</v>
      </c>
      <c r="U28" s="3">
        <v>88.84</v>
      </c>
      <c r="V28" s="3">
        <v>83.79</v>
      </c>
      <c r="W28" s="3">
        <v>83.4</v>
      </c>
      <c r="X28" s="3">
        <v>89.42</v>
      </c>
      <c r="Y28" s="3">
        <v>78.58</v>
      </c>
      <c r="Z28" s="3">
        <f t="shared" si="0"/>
        <v>1701.11</v>
      </c>
      <c r="AA28" s="1">
        <f t="shared" si="1"/>
        <v>81.0052380952381</v>
      </c>
      <c r="AB28" s="1">
        <v>27</v>
      </c>
      <c r="AC28" s="1"/>
    </row>
    <row r="29" spans="1:29">
      <c r="A29" s="1">
        <v>2</v>
      </c>
      <c r="B29" s="1">
        <v>20221613840</v>
      </c>
      <c r="C29" s="1" t="s">
        <v>57</v>
      </c>
      <c r="D29" s="1" t="s">
        <v>29</v>
      </c>
      <c r="E29" s="3">
        <v>89.46</v>
      </c>
      <c r="F29" s="3">
        <v>84.46</v>
      </c>
      <c r="G29" s="3">
        <v>90.5</v>
      </c>
      <c r="H29" s="3">
        <v>76.5</v>
      </c>
      <c r="I29" s="3">
        <v>91.9</v>
      </c>
      <c r="J29" s="3">
        <v>87.6</v>
      </c>
      <c r="K29" s="3">
        <v>84.95</v>
      </c>
      <c r="L29" s="3">
        <v>82.67</v>
      </c>
      <c r="M29" s="3">
        <v>75.55</v>
      </c>
      <c r="N29" s="4">
        <v>20.4</v>
      </c>
      <c r="O29" s="3">
        <v>72.21</v>
      </c>
      <c r="P29" s="3">
        <v>89</v>
      </c>
      <c r="Q29" s="3">
        <v>86.94</v>
      </c>
      <c r="R29" s="3">
        <v>82.33</v>
      </c>
      <c r="S29" s="3">
        <v>83.4</v>
      </c>
      <c r="T29" s="3">
        <v>82.59</v>
      </c>
      <c r="U29" s="3">
        <v>86.26</v>
      </c>
      <c r="V29" s="3">
        <v>75.5</v>
      </c>
      <c r="W29" s="3">
        <v>89.9</v>
      </c>
      <c r="X29" s="3">
        <v>86.15</v>
      </c>
      <c r="Y29" s="3">
        <v>80.95</v>
      </c>
      <c r="Z29" s="3">
        <f t="shared" si="0"/>
        <v>1699.22</v>
      </c>
      <c r="AA29" s="1">
        <f t="shared" si="1"/>
        <v>80.9152380952381</v>
      </c>
      <c r="AB29" s="1">
        <v>28</v>
      </c>
      <c r="AC29" s="1"/>
    </row>
    <row r="30" spans="1:29">
      <c r="A30" s="1">
        <v>15</v>
      </c>
      <c r="B30" s="1">
        <v>20221614641</v>
      </c>
      <c r="C30" s="1" t="s">
        <v>58</v>
      </c>
      <c r="D30" s="1" t="s">
        <v>29</v>
      </c>
      <c r="E30" s="3">
        <v>79.67</v>
      </c>
      <c r="F30" s="3">
        <v>82.9</v>
      </c>
      <c r="G30" s="3">
        <v>83.26</v>
      </c>
      <c r="H30" s="3">
        <v>80</v>
      </c>
      <c r="I30" s="3">
        <v>88.1</v>
      </c>
      <c r="J30" s="3">
        <v>88.05</v>
      </c>
      <c r="K30" s="3">
        <v>69.2</v>
      </c>
      <c r="L30" s="3">
        <v>82.78</v>
      </c>
      <c r="M30" s="3">
        <v>71.35</v>
      </c>
      <c r="N30" s="3">
        <v>74.17</v>
      </c>
      <c r="O30" s="3">
        <v>72.62</v>
      </c>
      <c r="P30" s="3">
        <v>75.9</v>
      </c>
      <c r="Q30" s="3">
        <v>80.44</v>
      </c>
      <c r="R30" s="3">
        <v>75.98</v>
      </c>
      <c r="S30" s="3">
        <v>81.15</v>
      </c>
      <c r="T30" s="3">
        <v>77.78</v>
      </c>
      <c r="U30" s="3">
        <v>83.64</v>
      </c>
      <c r="V30" s="3">
        <v>79.79</v>
      </c>
      <c r="W30" s="3">
        <v>86.2</v>
      </c>
      <c r="X30" s="3">
        <v>86.4</v>
      </c>
      <c r="Y30" s="3">
        <v>81.5</v>
      </c>
      <c r="Z30" s="3">
        <f t="shared" si="0"/>
        <v>1680.88</v>
      </c>
      <c r="AA30" s="1">
        <f t="shared" si="1"/>
        <v>80.0419047619048</v>
      </c>
      <c r="AB30" s="1">
        <v>29</v>
      </c>
      <c r="AC30" s="1"/>
    </row>
    <row r="31" spans="1:29">
      <c r="A31" s="1">
        <v>38</v>
      </c>
      <c r="B31" s="1">
        <v>20221614832</v>
      </c>
      <c r="C31" s="1" t="s">
        <v>59</v>
      </c>
      <c r="D31" s="1" t="s">
        <v>29</v>
      </c>
      <c r="E31" s="3">
        <v>91.76</v>
      </c>
      <c r="F31" s="3">
        <v>88.95</v>
      </c>
      <c r="G31" s="3">
        <v>90.85</v>
      </c>
      <c r="H31" s="3">
        <v>86.5</v>
      </c>
      <c r="I31" s="3">
        <v>88.35</v>
      </c>
      <c r="J31" s="3">
        <v>88.6</v>
      </c>
      <c r="K31" s="3">
        <v>86.05</v>
      </c>
      <c r="L31" s="3">
        <v>91.75</v>
      </c>
      <c r="M31" s="3">
        <v>90.4</v>
      </c>
      <c r="N31" s="3">
        <v>90.48</v>
      </c>
      <c r="O31" s="3">
        <v>81.67</v>
      </c>
      <c r="P31" s="3">
        <v>93.92</v>
      </c>
      <c r="Q31" s="3">
        <v>90.19</v>
      </c>
      <c r="R31" s="3">
        <v>0</v>
      </c>
      <c r="S31" s="3">
        <v>86.25</v>
      </c>
      <c r="T31" s="3">
        <v>86.11</v>
      </c>
      <c r="U31" s="3">
        <v>0</v>
      </c>
      <c r="V31" s="3">
        <v>87.61</v>
      </c>
      <c r="W31" s="3">
        <v>86.15</v>
      </c>
      <c r="X31" s="3">
        <v>89.9</v>
      </c>
      <c r="Y31" s="3">
        <v>84.7</v>
      </c>
      <c r="Z31" s="3">
        <f t="shared" si="0"/>
        <v>1680.19</v>
      </c>
      <c r="AA31" s="1">
        <f t="shared" si="1"/>
        <v>80.0090476190476</v>
      </c>
      <c r="AB31" s="1">
        <v>30</v>
      </c>
      <c r="AC31" s="1"/>
    </row>
    <row r="32" spans="1:29">
      <c r="A32" s="1">
        <v>10</v>
      </c>
      <c r="B32" s="1">
        <v>20221614627</v>
      </c>
      <c r="C32" s="1" t="s">
        <v>60</v>
      </c>
      <c r="D32" s="1" t="s">
        <v>29</v>
      </c>
      <c r="E32" s="3">
        <v>88.7</v>
      </c>
      <c r="F32" s="3">
        <v>82.05</v>
      </c>
      <c r="G32" s="3">
        <v>84.82</v>
      </c>
      <c r="H32" s="3">
        <v>75</v>
      </c>
      <c r="I32" s="3">
        <v>86.2</v>
      </c>
      <c r="J32" s="3">
        <v>85.55</v>
      </c>
      <c r="K32" s="3">
        <v>75.5</v>
      </c>
      <c r="L32" s="3">
        <v>84.32</v>
      </c>
      <c r="M32" s="3">
        <v>69.55</v>
      </c>
      <c r="N32" s="3">
        <v>75.12</v>
      </c>
      <c r="O32" s="3">
        <v>80.72</v>
      </c>
      <c r="P32" s="3">
        <v>81.9</v>
      </c>
      <c r="Q32" s="3">
        <v>79.34</v>
      </c>
      <c r="R32" s="3">
        <v>75.13</v>
      </c>
      <c r="S32" s="3">
        <v>76.85</v>
      </c>
      <c r="T32" s="3">
        <v>76.6</v>
      </c>
      <c r="U32" s="3">
        <v>81.02</v>
      </c>
      <c r="V32" s="3">
        <v>77.69</v>
      </c>
      <c r="W32" s="3">
        <v>76.75</v>
      </c>
      <c r="X32" s="3">
        <v>85.4</v>
      </c>
      <c r="Y32" s="3">
        <v>76.78</v>
      </c>
      <c r="Z32" s="3">
        <f t="shared" si="0"/>
        <v>1674.99</v>
      </c>
      <c r="AA32" s="1">
        <f t="shared" si="1"/>
        <v>79.7614285714286</v>
      </c>
      <c r="AB32" s="1">
        <v>31</v>
      </c>
      <c r="AC32" s="1"/>
    </row>
    <row r="33" spans="1:29">
      <c r="A33" s="1">
        <v>29</v>
      </c>
      <c r="B33" s="1">
        <v>20221614749</v>
      </c>
      <c r="C33" s="1" t="s">
        <v>61</v>
      </c>
      <c r="D33" s="1" t="s">
        <v>29</v>
      </c>
      <c r="E33" s="3">
        <v>83.4</v>
      </c>
      <c r="F33" s="3">
        <v>83.5</v>
      </c>
      <c r="G33" s="3">
        <v>88.35</v>
      </c>
      <c r="H33" s="3">
        <v>81.5</v>
      </c>
      <c r="I33" s="3">
        <v>90.25</v>
      </c>
      <c r="J33" s="3">
        <v>85.6</v>
      </c>
      <c r="K33" s="3">
        <v>74.8</v>
      </c>
      <c r="L33" s="3">
        <v>75.95</v>
      </c>
      <c r="M33" s="3">
        <v>75.55</v>
      </c>
      <c r="N33" s="3">
        <v>72.85</v>
      </c>
      <c r="O33" s="4">
        <v>15.2</v>
      </c>
      <c r="P33" s="3">
        <v>76.8</v>
      </c>
      <c r="Q33" s="3">
        <v>86.36</v>
      </c>
      <c r="R33" s="3">
        <v>76.23</v>
      </c>
      <c r="S33" s="3">
        <v>80.35</v>
      </c>
      <c r="T33" s="3">
        <v>81.01</v>
      </c>
      <c r="U33" s="3">
        <v>80.02</v>
      </c>
      <c r="V33" s="3">
        <v>80.77</v>
      </c>
      <c r="W33" s="3">
        <v>90.8</v>
      </c>
      <c r="X33" s="3">
        <v>87.9</v>
      </c>
      <c r="Y33" s="3">
        <v>81.9</v>
      </c>
      <c r="Z33" s="3">
        <f t="shared" si="0"/>
        <v>1649.09</v>
      </c>
      <c r="AA33" s="1">
        <f t="shared" si="1"/>
        <v>78.5280952380952</v>
      </c>
      <c r="AB33" s="1">
        <v>32</v>
      </c>
      <c r="AC33" s="1"/>
    </row>
    <row r="34" spans="1:29">
      <c r="A34" s="1">
        <v>26</v>
      </c>
      <c r="B34" s="1">
        <v>20221614745</v>
      </c>
      <c r="C34" s="1" t="s">
        <v>62</v>
      </c>
      <c r="D34" s="1" t="s">
        <v>29</v>
      </c>
      <c r="E34" s="3">
        <v>88.14</v>
      </c>
      <c r="F34" s="3">
        <v>85.15</v>
      </c>
      <c r="G34" s="3">
        <v>86.46</v>
      </c>
      <c r="H34" s="3">
        <v>80</v>
      </c>
      <c r="I34" s="3">
        <v>90.25</v>
      </c>
      <c r="J34" s="3">
        <v>88.6</v>
      </c>
      <c r="K34" s="3">
        <v>67.5</v>
      </c>
      <c r="L34" s="3">
        <v>77.4</v>
      </c>
      <c r="M34" s="3">
        <v>77.25</v>
      </c>
      <c r="N34" s="3">
        <v>72.63</v>
      </c>
      <c r="O34" s="4">
        <v>18.4</v>
      </c>
      <c r="P34" s="3">
        <v>77.98</v>
      </c>
      <c r="Q34" s="3">
        <v>82.83</v>
      </c>
      <c r="R34" s="3">
        <v>73.58</v>
      </c>
      <c r="S34" s="3">
        <v>76.65</v>
      </c>
      <c r="T34" s="3">
        <v>80.57</v>
      </c>
      <c r="U34" s="3">
        <v>84.06</v>
      </c>
      <c r="V34" s="3">
        <v>79</v>
      </c>
      <c r="W34" s="3">
        <v>86.65</v>
      </c>
      <c r="X34" s="3">
        <v>88.73</v>
      </c>
      <c r="Y34" s="3">
        <v>77.38</v>
      </c>
      <c r="Z34" s="3">
        <f t="shared" si="0"/>
        <v>1639.21</v>
      </c>
      <c r="AA34" s="1">
        <f t="shared" si="1"/>
        <v>78.0576190476191</v>
      </c>
      <c r="AB34" s="1">
        <v>33</v>
      </c>
      <c r="AC34" s="1"/>
    </row>
    <row r="35" spans="1:29">
      <c r="A35" s="1">
        <v>16</v>
      </c>
      <c r="B35" s="1">
        <v>20221614642</v>
      </c>
      <c r="C35" s="1" t="s">
        <v>63</v>
      </c>
      <c r="D35" s="1" t="s">
        <v>29</v>
      </c>
      <c r="E35" s="3">
        <v>85.99</v>
      </c>
      <c r="F35" s="3">
        <v>78.3</v>
      </c>
      <c r="G35" s="3">
        <v>86.93</v>
      </c>
      <c r="H35" s="3">
        <v>78</v>
      </c>
      <c r="I35" s="3">
        <v>88.1</v>
      </c>
      <c r="J35" s="3">
        <v>87.5</v>
      </c>
      <c r="K35" s="3">
        <v>69.2</v>
      </c>
      <c r="L35" s="3">
        <v>73.87</v>
      </c>
      <c r="M35" s="3">
        <v>69.75</v>
      </c>
      <c r="N35" s="3">
        <v>76.75</v>
      </c>
      <c r="O35" s="4">
        <v>16.4</v>
      </c>
      <c r="P35" s="3">
        <v>80.9</v>
      </c>
      <c r="Q35" s="3">
        <v>75.64</v>
      </c>
      <c r="R35" s="3">
        <v>73.28</v>
      </c>
      <c r="S35" s="3">
        <v>82.25</v>
      </c>
      <c r="T35" s="3">
        <v>77.09</v>
      </c>
      <c r="U35" s="3">
        <v>80.38</v>
      </c>
      <c r="V35" s="3">
        <v>74.94</v>
      </c>
      <c r="W35" s="3">
        <v>83</v>
      </c>
      <c r="X35" s="3">
        <v>86.2</v>
      </c>
      <c r="Y35" s="3">
        <v>81.68</v>
      </c>
      <c r="Z35" s="3">
        <f t="shared" si="0"/>
        <v>1606.15</v>
      </c>
      <c r="AA35" s="1">
        <f t="shared" si="1"/>
        <v>76.4833333333333</v>
      </c>
      <c r="AB35" s="1">
        <v>34</v>
      </c>
      <c r="AC35" s="1"/>
    </row>
    <row r="36" spans="1:29">
      <c r="A36" s="1">
        <v>12</v>
      </c>
      <c r="B36" s="1">
        <v>20221614638</v>
      </c>
      <c r="C36" s="1" t="s">
        <v>64</v>
      </c>
      <c r="D36" s="1" t="s">
        <v>29</v>
      </c>
      <c r="E36" s="3">
        <v>78.28</v>
      </c>
      <c r="F36" s="3">
        <v>89.5</v>
      </c>
      <c r="G36" s="3">
        <v>86.67</v>
      </c>
      <c r="H36" s="3">
        <v>72.25</v>
      </c>
      <c r="I36" s="3">
        <v>86.2</v>
      </c>
      <c r="J36" s="3">
        <v>86.6</v>
      </c>
      <c r="K36" s="3">
        <v>77</v>
      </c>
      <c r="L36" s="3">
        <v>76.25</v>
      </c>
      <c r="M36" s="4">
        <v>19.2</v>
      </c>
      <c r="N36" s="3">
        <v>69.25</v>
      </c>
      <c r="O36" s="4">
        <v>19.6</v>
      </c>
      <c r="P36" s="3">
        <v>77.64</v>
      </c>
      <c r="Q36" s="3">
        <v>82.51</v>
      </c>
      <c r="R36" s="3">
        <v>83.35</v>
      </c>
      <c r="S36" s="3">
        <v>81.8</v>
      </c>
      <c r="T36" s="3">
        <v>80.67</v>
      </c>
      <c r="U36" s="3">
        <v>89.28</v>
      </c>
      <c r="V36" s="3">
        <v>84.28</v>
      </c>
      <c r="W36" s="3">
        <v>86.4</v>
      </c>
      <c r="X36" s="3">
        <v>89.2</v>
      </c>
      <c r="Y36" s="3">
        <v>83.55</v>
      </c>
      <c r="Z36" s="3">
        <f t="shared" si="0"/>
        <v>1599.48</v>
      </c>
      <c r="AA36" s="1">
        <f t="shared" si="1"/>
        <v>76.1657142857143</v>
      </c>
      <c r="AB36" s="1">
        <v>35</v>
      </c>
      <c r="AC36" s="1"/>
    </row>
    <row r="37" spans="1:29">
      <c r="A37" s="1">
        <v>37</v>
      </c>
      <c r="B37" s="1">
        <v>20221614831</v>
      </c>
      <c r="C37" s="1" t="s">
        <v>65</v>
      </c>
      <c r="D37" s="1" t="s">
        <v>29</v>
      </c>
      <c r="E37" s="3">
        <v>91.59</v>
      </c>
      <c r="F37" s="3">
        <v>78.95</v>
      </c>
      <c r="G37" s="3">
        <v>85.62</v>
      </c>
      <c r="H37" s="3">
        <v>78.5</v>
      </c>
      <c r="I37" s="3">
        <v>88.35</v>
      </c>
      <c r="J37" s="3">
        <v>88.5</v>
      </c>
      <c r="K37" s="3">
        <v>79.25</v>
      </c>
      <c r="L37" s="3">
        <v>88.02</v>
      </c>
      <c r="M37" s="3">
        <v>80.05</v>
      </c>
      <c r="N37" s="3">
        <v>81.02</v>
      </c>
      <c r="O37" s="4">
        <v>14.4</v>
      </c>
      <c r="P37" s="4">
        <v>17.8</v>
      </c>
      <c r="Q37" s="3">
        <v>85.24</v>
      </c>
      <c r="R37" s="3">
        <v>75.93</v>
      </c>
      <c r="S37" s="3">
        <v>3</v>
      </c>
      <c r="T37" s="3">
        <v>81.75</v>
      </c>
      <c r="U37" s="3">
        <v>81.45</v>
      </c>
      <c r="V37" s="3">
        <v>83.71</v>
      </c>
      <c r="W37" s="3">
        <v>87.2</v>
      </c>
      <c r="X37" s="3">
        <v>90.4</v>
      </c>
      <c r="Y37" s="3">
        <v>82.78</v>
      </c>
      <c r="Z37" s="3">
        <f t="shared" si="0"/>
        <v>1543.51</v>
      </c>
      <c r="AA37" s="1">
        <f t="shared" si="1"/>
        <v>73.5004761904762</v>
      </c>
      <c r="AB37" s="1">
        <v>36</v>
      </c>
      <c r="AC37" s="1"/>
    </row>
    <row r="38" spans="1:29">
      <c r="A38" s="1">
        <v>14</v>
      </c>
      <c r="B38" s="1">
        <v>20221614640</v>
      </c>
      <c r="C38" s="1" t="s">
        <v>66</v>
      </c>
      <c r="D38" s="1" t="s">
        <v>29</v>
      </c>
      <c r="E38" s="4">
        <v>20.8</v>
      </c>
      <c r="F38" s="3">
        <v>86.7</v>
      </c>
      <c r="G38" s="3">
        <v>89.73</v>
      </c>
      <c r="H38" s="3">
        <v>78</v>
      </c>
      <c r="I38" s="3">
        <v>88.1</v>
      </c>
      <c r="J38" s="3">
        <v>88.5</v>
      </c>
      <c r="K38" s="4">
        <v>20.8</v>
      </c>
      <c r="L38" s="3">
        <v>77.05</v>
      </c>
      <c r="M38" s="4">
        <v>16</v>
      </c>
      <c r="N38" s="3">
        <v>73.95</v>
      </c>
      <c r="O38" s="3">
        <v>75.05</v>
      </c>
      <c r="P38" s="5">
        <v>78.7</v>
      </c>
      <c r="Q38" s="3">
        <v>85.12</v>
      </c>
      <c r="R38" s="3">
        <v>74.68</v>
      </c>
      <c r="S38" s="3">
        <v>84.85</v>
      </c>
      <c r="T38" s="3">
        <v>87.62</v>
      </c>
      <c r="U38" s="3">
        <v>85.9</v>
      </c>
      <c r="V38" s="3">
        <v>75.45</v>
      </c>
      <c r="W38" s="3">
        <v>85.4</v>
      </c>
      <c r="X38" s="3">
        <v>86.55</v>
      </c>
      <c r="Y38" s="3">
        <v>80.2</v>
      </c>
      <c r="Z38" s="3">
        <f t="shared" si="0"/>
        <v>1539.15</v>
      </c>
      <c r="AA38" s="1">
        <f t="shared" si="1"/>
        <v>73.2928571428572</v>
      </c>
      <c r="AB38" s="1">
        <v>37</v>
      </c>
      <c r="AC38" s="1"/>
    </row>
    <row r="39" spans="1:29">
      <c r="A39" s="1">
        <v>23</v>
      </c>
      <c r="B39" s="1">
        <v>20221614742</v>
      </c>
      <c r="C39" s="1" t="s">
        <v>67</v>
      </c>
      <c r="D39" s="1" t="s">
        <v>29</v>
      </c>
      <c r="E39" s="3">
        <v>80.89</v>
      </c>
      <c r="F39" s="3">
        <v>81.82</v>
      </c>
      <c r="G39" s="3">
        <v>86.29</v>
      </c>
      <c r="H39" s="3">
        <v>68.5</v>
      </c>
      <c r="I39" s="3">
        <v>88.6</v>
      </c>
      <c r="J39" s="3">
        <v>88.1</v>
      </c>
      <c r="K39" s="3">
        <v>65.7</v>
      </c>
      <c r="L39" s="3">
        <v>81.92</v>
      </c>
      <c r="M39" s="4">
        <v>20.4</v>
      </c>
      <c r="N39" s="3">
        <v>71.1</v>
      </c>
      <c r="O39" s="3">
        <v>82.9</v>
      </c>
      <c r="P39" s="3">
        <v>82.5</v>
      </c>
      <c r="Q39" s="3">
        <v>80.1</v>
      </c>
      <c r="R39" s="3">
        <v>77.63</v>
      </c>
      <c r="S39" s="3">
        <v>2.9</v>
      </c>
      <c r="T39" s="3">
        <v>78.13</v>
      </c>
      <c r="U39" s="3">
        <v>79.44</v>
      </c>
      <c r="V39" s="3">
        <v>71.42</v>
      </c>
      <c r="W39" s="3">
        <v>73.5</v>
      </c>
      <c r="X39" s="3">
        <v>79.58</v>
      </c>
      <c r="Y39" s="3">
        <v>75.45</v>
      </c>
      <c r="Z39" s="3">
        <f t="shared" si="0"/>
        <v>1516.87</v>
      </c>
      <c r="AA39" s="1">
        <f t="shared" si="1"/>
        <v>72.2319047619048</v>
      </c>
      <c r="AB39" s="1">
        <v>38</v>
      </c>
      <c r="AC39" s="1"/>
    </row>
    <row r="40" spans="1:29">
      <c r="A40" s="1">
        <v>25</v>
      </c>
      <c r="B40" s="1">
        <v>20221614744</v>
      </c>
      <c r="C40" s="1" t="s">
        <v>68</v>
      </c>
      <c r="D40" s="1" t="s">
        <v>29</v>
      </c>
      <c r="E40" s="3">
        <v>89.42</v>
      </c>
      <c r="F40" s="3">
        <v>82.9</v>
      </c>
      <c r="G40" s="3">
        <v>84.76</v>
      </c>
      <c r="H40" s="3">
        <v>82</v>
      </c>
      <c r="I40" s="3">
        <v>90.25</v>
      </c>
      <c r="J40" s="3">
        <v>88.5</v>
      </c>
      <c r="K40" s="4">
        <v>0</v>
      </c>
      <c r="L40" s="3">
        <v>73.75</v>
      </c>
      <c r="M40" s="4">
        <v>16.8</v>
      </c>
      <c r="N40" s="3">
        <v>77.45</v>
      </c>
      <c r="O40" s="4">
        <v>20.4</v>
      </c>
      <c r="P40" s="4">
        <v>0</v>
      </c>
      <c r="Q40" s="3">
        <v>81.86</v>
      </c>
      <c r="R40" s="3">
        <v>82.88</v>
      </c>
      <c r="S40" s="3">
        <v>83.1</v>
      </c>
      <c r="T40" s="3">
        <v>82.05</v>
      </c>
      <c r="U40" s="3">
        <v>79.51</v>
      </c>
      <c r="V40" s="3">
        <v>78.1</v>
      </c>
      <c r="W40" s="3">
        <v>85.8</v>
      </c>
      <c r="X40" s="3">
        <v>89.75</v>
      </c>
      <c r="Y40" s="3">
        <v>75.33</v>
      </c>
      <c r="Z40" s="3">
        <f t="shared" si="0"/>
        <v>1444.61</v>
      </c>
      <c r="AA40" s="1">
        <f t="shared" si="1"/>
        <v>68.7909523809524</v>
      </c>
      <c r="AB40" s="1">
        <v>39</v>
      </c>
      <c r="AC40" s="1"/>
    </row>
    <row r="41" spans="1:29">
      <c r="A41" s="1">
        <v>41</v>
      </c>
      <c r="B41" s="1">
        <v>20221614840</v>
      </c>
      <c r="C41" s="1" t="s">
        <v>69</v>
      </c>
      <c r="D41" s="1" t="s">
        <v>29</v>
      </c>
      <c r="E41" s="3">
        <v>82.11</v>
      </c>
      <c r="F41" s="3">
        <v>83.7</v>
      </c>
      <c r="G41" s="3">
        <v>80.79</v>
      </c>
      <c r="H41" s="3">
        <v>80</v>
      </c>
      <c r="I41" s="3">
        <v>90</v>
      </c>
      <c r="J41" s="3">
        <v>88</v>
      </c>
      <c r="K41" s="3">
        <v>74.9</v>
      </c>
      <c r="L41" s="3">
        <v>77.15</v>
      </c>
      <c r="M41" s="4">
        <v>20</v>
      </c>
      <c r="N41" s="3">
        <v>67</v>
      </c>
      <c r="O41" s="4">
        <v>17.16</v>
      </c>
      <c r="P41" s="3">
        <v>77.18</v>
      </c>
      <c r="Q41" s="3">
        <v>82.11</v>
      </c>
      <c r="R41" s="3">
        <v>73.3</v>
      </c>
      <c r="S41" s="3">
        <v>5.5</v>
      </c>
      <c r="T41" s="3">
        <v>75.16</v>
      </c>
      <c r="U41" s="3">
        <v>83.84</v>
      </c>
      <c r="V41" s="3">
        <v>70.75</v>
      </c>
      <c r="W41" s="3">
        <v>83.8</v>
      </c>
      <c r="X41" s="3">
        <v>73.63</v>
      </c>
      <c r="Y41" s="3">
        <v>4.7</v>
      </c>
      <c r="Z41" s="3">
        <f t="shared" si="0"/>
        <v>1390.78</v>
      </c>
      <c r="AA41" s="1">
        <f t="shared" si="1"/>
        <v>66.227619047619</v>
      </c>
      <c r="AB41" s="1">
        <v>40</v>
      </c>
      <c r="AC41" s="1"/>
    </row>
    <row r="42" spans="1:29">
      <c r="A42" s="1">
        <v>20</v>
      </c>
      <c r="B42" s="1">
        <v>20221614733</v>
      </c>
      <c r="C42" s="1" t="s">
        <v>70</v>
      </c>
      <c r="D42" s="1" t="s">
        <v>29</v>
      </c>
      <c r="E42" s="4">
        <v>17.6</v>
      </c>
      <c r="F42" s="3">
        <v>77.3</v>
      </c>
      <c r="G42" s="3">
        <v>85.48</v>
      </c>
      <c r="H42" s="3">
        <v>81</v>
      </c>
      <c r="I42" s="3">
        <v>88.1</v>
      </c>
      <c r="J42" s="3">
        <v>85.25</v>
      </c>
      <c r="K42" s="4">
        <v>22.8</v>
      </c>
      <c r="L42" s="3">
        <v>77.82</v>
      </c>
      <c r="M42" s="3">
        <v>73.05</v>
      </c>
      <c r="N42" s="4">
        <v>11.6</v>
      </c>
      <c r="O42" s="4">
        <v>9.6</v>
      </c>
      <c r="P42" s="4">
        <v>0</v>
      </c>
      <c r="Q42" s="3">
        <v>84.46</v>
      </c>
      <c r="R42" s="3">
        <v>72.38</v>
      </c>
      <c r="S42" s="3">
        <v>75.95</v>
      </c>
      <c r="T42" s="3">
        <v>83.95</v>
      </c>
      <c r="U42" s="3">
        <v>79.16</v>
      </c>
      <c r="V42" s="3">
        <v>71.79</v>
      </c>
      <c r="W42" s="3">
        <v>83.2</v>
      </c>
      <c r="X42" s="3">
        <v>89.15</v>
      </c>
      <c r="Y42" s="3">
        <v>81.88</v>
      </c>
      <c r="Z42" s="3">
        <f t="shared" si="0"/>
        <v>1351.52</v>
      </c>
      <c r="AA42" s="1">
        <f t="shared" si="1"/>
        <v>64.3580952380953</v>
      </c>
      <c r="AB42" s="1">
        <v>41</v>
      </c>
      <c r="AC42" s="1"/>
    </row>
    <row r="43" spans="1:29">
      <c r="A43" s="1">
        <v>24</v>
      </c>
      <c r="B43" s="1">
        <v>20221614743</v>
      </c>
      <c r="C43" s="1" t="s">
        <v>71</v>
      </c>
      <c r="D43" s="1" t="s">
        <v>29</v>
      </c>
      <c r="E43" s="3">
        <v>87.5</v>
      </c>
      <c r="F43" s="3">
        <v>81.3</v>
      </c>
      <c r="G43" s="3">
        <v>77.62</v>
      </c>
      <c r="H43" s="3">
        <v>65</v>
      </c>
      <c r="I43" s="3">
        <v>88.35</v>
      </c>
      <c r="J43" s="3">
        <v>87.1</v>
      </c>
      <c r="K43" s="4">
        <v>20.8</v>
      </c>
      <c r="L43" s="3">
        <v>80.47</v>
      </c>
      <c r="M43" s="4">
        <v>22.4</v>
      </c>
      <c r="N43" s="3">
        <v>67.67</v>
      </c>
      <c r="O43" s="3">
        <v>69.5</v>
      </c>
      <c r="P43" s="4">
        <v>25.7</v>
      </c>
      <c r="Q43" s="3">
        <v>72.59</v>
      </c>
      <c r="R43" s="3">
        <v>81.3</v>
      </c>
      <c r="S43" s="3">
        <v>3</v>
      </c>
      <c r="T43" s="3">
        <v>74.68</v>
      </c>
      <c r="U43" s="3">
        <v>78.3</v>
      </c>
      <c r="V43" s="3">
        <v>69.94</v>
      </c>
      <c r="W43" s="3">
        <v>80.7</v>
      </c>
      <c r="X43" s="3">
        <v>82.1</v>
      </c>
      <c r="Y43" s="3">
        <v>2.5</v>
      </c>
      <c r="Z43" s="3">
        <f t="shared" si="0"/>
        <v>1318.52</v>
      </c>
      <c r="AA43" s="1">
        <f t="shared" si="1"/>
        <v>62.7866666666667</v>
      </c>
      <c r="AB43" s="1">
        <v>42</v>
      </c>
      <c r="AC43" s="1"/>
    </row>
    <row r="44" spans="1:29">
      <c r="A44" s="1">
        <v>22</v>
      </c>
      <c r="B44" s="1">
        <v>20221614735</v>
      </c>
      <c r="C44" s="1" t="s">
        <v>72</v>
      </c>
      <c r="D44" s="1" t="s">
        <v>29</v>
      </c>
      <c r="E44" s="4">
        <v>23.2</v>
      </c>
      <c r="F44" s="3">
        <v>80.8</v>
      </c>
      <c r="G44" s="3">
        <v>78.07</v>
      </c>
      <c r="H44" s="3">
        <v>70</v>
      </c>
      <c r="I44" s="3">
        <v>88.35</v>
      </c>
      <c r="J44" s="3">
        <v>88</v>
      </c>
      <c r="K44" s="4">
        <v>15.6</v>
      </c>
      <c r="L44" s="3">
        <v>78.78</v>
      </c>
      <c r="M44" s="4">
        <v>17.6</v>
      </c>
      <c r="N44" s="4">
        <v>16</v>
      </c>
      <c r="O44" s="4">
        <v>16.8</v>
      </c>
      <c r="P44" s="4">
        <v>26.3</v>
      </c>
      <c r="Q44" s="3">
        <v>78.5</v>
      </c>
      <c r="R44" s="3">
        <v>74.2</v>
      </c>
      <c r="S44" s="3">
        <v>75.25</v>
      </c>
      <c r="T44" s="3">
        <v>79.9</v>
      </c>
      <c r="U44" s="3">
        <v>80.26</v>
      </c>
      <c r="V44" s="3">
        <v>77.92</v>
      </c>
      <c r="W44" s="3">
        <v>82</v>
      </c>
      <c r="X44" s="3">
        <v>87.5</v>
      </c>
      <c r="Y44" s="3">
        <v>80.83</v>
      </c>
      <c r="Z44" s="3">
        <f t="shared" si="0"/>
        <v>1315.86</v>
      </c>
      <c r="AA44" s="1">
        <f t="shared" si="1"/>
        <v>62.66</v>
      </c>
      <c r="AB44" s="1">
        <v>43</v>
      </c>
      <c r="AC44" s="1"/>
    </row>
    <row r="45" spans="1:29">
      <c r="A45" s="1">
        <v>13</v>
      </c>
      <c r="B45" s="1">
        <v>20221614639</v>
      </c>
      <c r="C45" s="1" t="s">
        <v>73</v>
      </c>
      <c r="D45" s="1" t="s">
        <v>29</v>
      </c>
      <c r="E45" s="4">
        <v>13.6</v>
      </c>
      <c r="F45" s="3">
        <v>81.2</v>
      </c>
      <c r="G45" s="3">
        <v>84.9</v>
      </c>
      <c r="H45" s="3">
        <v>72</v>
      </c>
      <c r="I45" s="3">
        <v>86.2</v>
      </c>
      <c r="J45" s="3">
        <v>87.1</v>
      </c>
      <c r="K45" s="4">
        <v>16.8</v>
      </c>
      <c r="L45" s="4">
        <v>20.7</v>
      </c>
      <c r="M45" s="4">
        <v>10.4</v>
      </c>
      <c r="N45" s="4">
        <v>13.2</v>
      </c>
      <c r="O45" s="4">
        <v>13.6</v>
      </c>
      <c r="P45" s="3">
        <v>76.2</v>
      </c>
      <c r="Q45" s="3">
        <v>73.36</v>
      </c>
      <c r="R45" s="3">
        <v>82.88</v>
      </c>
      <c r="S45" s="3">
        <v>82.05</v>
      </c>
      <c r="T45" s="3">
        <v>78.49</v>
      </c>
      <c r="U45" s="3">
        <v>75.94</v>
      </c>
      <c r="V45" s="3">
        <v>77.45</v>
      </c>
      <c r="W45" s="3">
        <v>78.2</v>
      </c>
      <c r="X45" s="3">
        <v>86.75</v>
      </c>
      <c r="Y45" s="3">
        <v>80.53</v>
      </c>
      <c r="Z45" s="3">
        <f t="shared" si="0"/>
        <v>1291.55</v>
      </c>
      <c r="AA45" s="1">
        <f t="shared" si="1"/>
        <v>61.502380952381</v>
      </c>
      <c r="AB45" s="1">
        <v>44</v>
      </c>
      <c r="AC45" s="1"/>
    </row>
    <row r="46" spans="1:29">
      <c r="A46" s="1">
        <v>3</v>
      </c>
      <c r="B46" s="1">
        <v>20221614601</v>
      </c>
      <c r="C46" s="1" t="s">
        <v>74</v>
      </c>
      <c r="D46" s="1" t="s">
        <v>29</v>
      </c>
      <c r="E46" s="4">
        <v>20.8</v>
      </c>
      <c r="F46" s="3">
        <v>82.74</v>
      </c>
      <c r="G46" s="3">
        <v>85.79</v>
      </c>
      <c r="H46" s="3">
        <v>77</v>
      </c>
      <c r="I46" s="3">
        <v>86.2</v>
      </c>
      <c r="J46" s="3">
        <v>83.6</v>
      </c>
      <c r="K46" s="4">
        <v>17.6</v>
      </c>
      <c r="L46" s="4">
        <v>24.8</v>
      </c>
      <c r="M46" s="4">
        <v>10.8</v>
      </c>
      <c r="N46" s="4">
        <v>13.2</v>
      </c>
      <c r="O46" s="4">
        <v>13.6</v>
      </c>
      <c r="P46" s="4">
        <v>0</v>
      </c>
      <c r="Q46" s="3">
        <v>78.92</v>
      </c>
      <c r="R46" s="3">
        <v>87.7</v>
      </c>
      <c r="S46" s="3">
        <v>77.9</v>
      </c>
      <c r="T46" s="3">
        <v>76.01</v>
      </c>
      <c r="U46" s="3">
        <v>81.37</v>
      </c>
      <c r="V46" s="3">
        <v>77.27</v>
      </c>
      <c r="W46" s="3">
        <v>84.2</v>
      </c>
      <c r="X46" s="3">
        <v>88</v>
      </c>
      <c r="Y46" s="3">
        <v>81</v>
      </c>
      <c r="Z46" s="3">
        <f t="shared" si="0"/>
        <v>1248.5</v>
      </c>
      <c r="AA46" s="1">
        <f t="shared" si="1"/>
        <v>59.4523809523809</v>
      </c>
      <c r="AB46" s="1">
        <v>45</v>
      </c>
      <c r="AC46" s="1"/>
    </row>
    <row r="47" spans="1:2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</sheetData>
  <sheetProtection sheet="1" formatCells="0" formatColumns="0" formatRows="0" insertRows="0" insertColumns="0" insertHyperlinks="0" deleteColumns="0" deleteRows="0" sort="0" autoFilter="0" pivotTables="0"/>
  <sortState ref="A2:AC48">
    <sortCondition ref="AA2" descending="1"/>
  </sortState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565754952" otherUserPermission="edit"/>
</allowEditUser>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customXml/itemProps5.xml><?xml version="1.0" encoding="utf-8"?>
<ds:datastoreItem xmlns:ds="http://schemas.openxmlformats.org/officeDocument/2006/customXml" ds:itemID="{06C82605-B75B-4693-9329-32AAD527C692}">
  <ds:schemaRefs/>
</ds:datastoreItem>
</file>

<file path=customXml/itemProps6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WWO_wpscloud_20250108203101-9737e764c7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王</dc:creator>
  <cp:lastModifiedBy>不灭七星&amp;</cp:lastModifiedBy>
  <dcterms:created xsi:type="dcterms:W3CDTF">2023-09-25T15:25:00Z</dcterms:created>
  <dcterms:modified xsi:type="dcterms:W3CDTF">2025-08-10T02:36:18Z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FD9CED53BCAF4C99A71AD0FA2995879E_12</vt:lpwstr>
  </property>
</Properties>
</file>