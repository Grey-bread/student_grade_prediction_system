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<sst xmlns="http://schemas.openxmlformats.org/spreadsheetml/2006/main" count="346" uniqueCount="283">
  <si>
    <t>序号</t>
  </si>
  <si>
    <t>学号</t>
  </si>
  <si>
    <t>姓名</t>
  </si>
  <si>
    <t>班级</t>
  </si>
  <si>
    <t>线性代数A</t>
  </si>
  <si>
    <t>概率论与数理统计</t>
  </si>
  <si>
    <t>大学英语3级</t>
  </si>
  <si>
    <t>大学英语听说3级</t>
  </si>
  <si>
    <t>体育3</t>
  </si>
  <si>
    <t>web应用程序设计</t>
  </si>
  <si>
    <t>数据结构</t>
  </si>
  <si>
    <t>数据库系统</t>
  </si>
  <si>
    <t>马克思主义基本原理</t>
  </si>
  <si>
    <t>大学生职业生涯规划</t>
  </si>
  <si>
    <t>软件工程课程实践3</t>
  </si>
  <si>
    <t>专业领域认知</t>
  </si>
  <si>
    <t>大学英语4级</t>
  </si>
  <si>
    <t>大学英语听说4级</t>
  </si>
  <si>
    <t>体育4</t>
  </si>
  <si>
    <t>操作系统</t>
  </si>
  <si>
    <t>Python程序设计</t>
  </si>
  <si>
    <t>面对对象程序设计B</t>
  </si>
  <si>
    <t>毛泽东思想和中国特色社会主义理论体系概论</t>
  </si>
  <si>
    <t>软件工程综合实践4</t>
  </si>
  <si>
    <t>云计算与大数据概述</t>
  </si>
  <si>
    <t>数据采集与数据清洗</t>
  </si>
  <si>
    <t>信息论与大数据安全</t>
  </si>
  <si>
    <t>总分</t>
  </si>
  <si>
    <t>平均分</t>
  </si>
  <si>
    <t>排名</t>
  </si>
  <si>
    <t>温雨欣</t>
  </si>
  <si>
    <t>软件2222Z班</t>
  </si>
  <si>
    <t>84.8</t>
  </si>
  <si>
    <t>79.5</t>
  </si>
  <si>
    <t>86.49</t>
  </si>
  <si>
    <t>82.49</t>
  </si>
  <si>
    <t>100</t>
  </si>
  <si>
    <t>张艺</t>
  </si>
  <si>
    <t>81.93</t>
  </si>
  <si>
    <t>82.1</t>
  </si>
  <si>
    <t>91.32</t>
  </si>
  <si>
    <t>77.9</t>
  </si>
  <si>
    <t>李芳菲</t>
  </si>
  <si>
    <t>91.7</t>
  </si>
  <si>
    <t>85.6</t>
  </si>
  <si>
    <t>77.67</t>
  </si>
  <si>
    <t>86.8</t>
  </si>
  <si>
    <t>99.6</t>
  </si>
  <si>
    <t>段怡玮</t>
  </si>
  <si>
    <t>90.03</t>
  </si>
  <si>
    <t>81.5</t>
  </si>
  <si>
    <t>83.61</t>
  </si>
  <si>
    <t>89.5</t>
  </si>
  <si>
    <t>98.95</t>
  </si>
  <si>
    <t>申函萁</t>
  </si>
  <si>
    <t>81</t>
  </si>
  <si>
    <t>87.2</t>
  </si>
  <si>
    <t>74.66</t>
  </si>
  <si>
    <t>76.8</t>
  </si>
  <si>
    <t>99.88</t>
  </si>
  <si>
    <t>任伟滔</t>
  </si>
  <si>
    <t>86.57</t>
  </si>
  <si>
    <t>71.6</t>
  </si>
  <si>
    <t>72.73</t>
  </si>
  <si>
    <t>72.9</t>
  </si>
  <si>
    <t>96.26</t>
  </si>
  <si>
    <t>李佳颖</t>
  </si>
  <si>
    <t>83.4</t>
  </si>
  <si>
    <t>65.9</t>
  </si>
  <si>
    <t>81.43</t>
  </si>
  <si>
    <t>87.5</t>
  </si>
  <si>
    <t>95.18</t>
  </si>
  <si>
    <t>赵攀攀</t>
  </si>
  <si>
    <t>70.88</t>
  </si>
  <si>
    <t>80.5</t>
  </si>
  <si>
    <t>74.54</t>
  </si>
  <si>
    <t>81.35</t>
  </si>
  <si>
    <t>97.57</t>
  </si>
  <si>
    <t>王浩</t>
  </si>
  <si>
    <t>88.1</t>
  </si>
  <si>
    <t>83.1</t>
  </si>
  <si>
    <t>66.92</t>
  </si>
  <si>
    <t>75.75</t>
  </si>
  <si>
    <t>96.43</t>
  </si>
  <si>
    <t>王宁宁</t>
  </si>
  <si>
    <t>85.2</t>
  </si>
  <si>
    <t>75.6</t>
  </si>
  <si>
    <t>82.38</t>
  </si>
  <si>
    <t>83.3</t>
  </si>
  <si>
    <t>55.12</t>
  </si>
  <si>
    <t>雷悦</t>
  </si>
  <si>
    <t>76.3</t>
  </si>
  <si>
    <t>76.2</t>
  </si>
  <si>
    <t>74.68</t>
  </si>
  <si>
    <t>73.66</t>
  </si>
  <si>
    <t>95.43</t>
  </si>
  <si>
    <t>59.64</t>
  </si>
  <si>
    <t>赵柯皓</t>
  </si>
  <si>
    <t>63.1</t>
  </si>
  <si>
    <t>70</t>
  </si>
  <si>
    <t>78.03</t>
  </si>
  <si>
    <t>81.95</t>
  </si>
  <si>
    <t>96.11</t>
  </si>
  <si>
    <t>武楷杰</t>
  </si>
  <si>
    <t>83.33</t>
  </si>
  <si>
    <t>73.6</t>
  </si>
  <si>
    <t>79.81</t>
  </si>
  <si>
    <t>84.97</t>
  </si>
  <si>
    <t>99.2</t>
  </si>
  <si>
    <t>乔佳玉</t>
  </si>
  <si>
    <t>84</t>
  </si>
  <si>
    <t>79.1</t>
  </si>
  <si>
    <t>77.26</t>
  </si>
  <si>
    <t>73.06</t>
  </si>
  <si>
    <t>59.07</t>
  </si>
  <si>
    <t>20221614801</t>
  </si>
  <si>
    <t>王锦弘</t>
  </si>
  <si>
    <t>82.63</t>
  </si>
  <si>
    <t>74.4</t>
  </si>
  <si>
    <t>69.43</t>
  </si>
  <si>
    <t>75.24</t>
  </si>
  <si>
    <t>99.13</t>
  </si>
  <si>
    <t>窦鑫</t>
  </si>
  <si>
    <t>71.13</t>
  </si>
  <si>
    <t>76.1</t>
  </si>
  <si>
    <t>69.68</t>
  </si>
  <si>
    <t>67.09</t>
  </si>
  <si>
    <t>99.11</t>
  </si>
  <si>
    <t>冯蜜源</t>
  </si>
  <si>
    <t>75.7</t>
  </si>
  <si>
    <t>74.2</t>
  </si>
  <si>
    <t>69.48</t>
  </si>
  <si>
    <t>70.7</t>
  </si>
  <si>
    <t>99.46</t>
  </si>
  <si>
    <t>裴钰杰</t>
  </si>
  <si>
    <t>78.7</t>
  </si>
  <si>
    <t>74.57</t>
  </si>
  <si>
    <t>68.96</t>
  </si>
  <si>
    <t>58.49</t>
  </si>
  <si>
    <t>景诺雅</t>
  </si>
  <si>
    <t>79</t>
  </si>
  <si>
    <t>73.4</t>
  </si>
  <si>
    <t>95.54</t>
  </si>
  <si>
    <t>李鹏飞</t>
  </si>
  <si>
    <t>84.6</t>
  </si>
  <si>
    <t>60.1</t>
  </si>
  <si>
    <t>72.48</t>
  </si>
  <si>
    <t>64.9</t>
  </si>
  <si>
    <t>93.91</t>
  </si>
  <si>
    <t>秦煜博</t>
  </si>
  <si>
    <t>68.6</t>
  </si>
  <si>
    <t>73.07</t>
  </si>
  <si>
    <t>60</t>
  </si>
  <si>
    <t>98.09</t>
  </si>
  <si>
    <t>陈锦如</t>
  </si>
  <si>
    <t>82.2</t>
  </si>
  <si>
    <t>72</t>
  </si>
  <si>
    <t>68.79</t>
  </si>
  <si>
    <t>69.8</t>
  </si>
  <si>
    <t>95.83</t>
  </si>
  <si>
    <t>张津豪</t>
  </si>
  <si>
    <t>85.47</t>
  </si>
  <si>
    <t>63.3</t>
  </si>
  <si>
    <t>67.84</t>
  </si>
  <si>
    <t>70.31</t>
  </si>
  <si>
    <t>96.32</t>
  </si>
  <si>
    <t>赵诗如</t>
  </si>
  <si>
    <t>72.8</t>
  </si>
  <si>
    <t>80.1</t>
  </si>
  <si>
    <t>68.58</t>
  </si>
  <si>
    <t>79.45</t>
  </si>
  <si>
    <t>40.56</t>
  </si>
  <si>
    <t>张锦鹏</t>
  </si>
  <si>
    <t>70.3</t>
  </si>
  <si>
    <t>61.5</t>
  </si>
  <si>
    <t>72.4</t>
  </si>
  <si>
    <t>65.57</t>
  </si>
  <si>
    <t>94.26</t>
  </si>
  <si>
    <t>陆龙炎</t>
  </si>
  <si>
    <t>75.77</t>
  </si>
  <si>
    <t>73.44</t>
  </si>
  <si>
    <t>77.19</t>
  </si>
  <si>
    <t>94.17</t>
  </si>
  <si>
    <t>李淇</t>
  </si>
  <si>
    <t>75.37</t>
  </si>
  <si>
    <t>68</t>
  </si>
  <si>
    <t>70.58</t>
  </si>
  <si>
    <t>65.31</t>
  </si>
  <si>
    <t>94.84</t>
  </si>
  <si>
    <t>王智源</t>
  </si>
  <si>
    <t>61.78</t>
  </si>
  <si>
    <t>75.48</t>
  </si>
  <si>
    <t>69.73</t>
  </si>
  <si>
    <t>97.02</t>
  </si>
  <si>
    <t>郭凌东</t>
  </si>
  <si>
    <t>82.8</t>
  </si>
  <si>
    <t>81.9</t>
  </si>
  <si>
    <t>68.5</t>
  </si>
  <si>
    <t>王弘实</t>
  </si>
  <si>
    <t>69.1</t>
  </si>
  <si>
    <t>60.2</t>
  </si>
  <si>
    <t>63.49</t>
  </si>
  <si>
    <t>73.11</t>
  </si>
  <si>
    <t>37.6</t>
  </si>
  <si>
    <t>赵洋琦</t>
  </si>
  <si>
    <t>64.3</t>
  </si>
  <si>
    <t>77.12</t>
  </si>
  <si>
    <t>69.94</t>
  </si>
  <si>
    <t>92.93</t>
  </si>
  <si>
    <t>张逸洋</t>
  </si>
  <si>
    <t>63.05</t>
  </si>
  <si>
    <t>62.9</t>
  </si>
  <si>
    <t>75.42</t>
  </si>
  <si>
    <t>76.45</t>
  </si>
  <si>
    <t>81.39</t>
  </si>
  <si>
    <t>张子涵</t>
  </si>
  <si>
    <t>67.9</t>
  </si>
  <si>
    <t>65.1</t>
  </si>
  <si>
    <t>69</t>
  </si>
  <si>
    <t>78.74</t>
  </si>
  <si>
    <t>59.77</t>
  </si>
  <si>
    <t>靳塬墅</t>
  </si>
  <si>
    <t>68.63</t>
  </si>
  <si>
    <t>61.89</t>
  </si>
  <si>
    <t>72.94</t>
  </si>
  <si>
    <t>57.56</t>
  </si>
  <si>
    <t>张艺佳</t>
  </si>
  <si>
    <t>72.2</t>
  </si>
  <si>
    <t>70.8</t>
  </si>
  <si>
    <t>68.18</t>
  </si>
  <si>
    <t>84.3</t>
  </si>
  <si>
    <t>97.01</t>
  </si>
  <si>
    <t>王宁</t>
  </si>
  <si>
    <t>65.2</t>
  </si>
  <si>
    <t>67.55</t>
  </si>
  <si>
    <t>71.03</t>
  </si>
  <si>
    <t>73.31</t>
  </si>
  <si>
    <t>梁旭锋</t>
  </si>
  <si>
    <t>66.33</t>
  </si>
  <si>
    <t>63.7</t>
  </si>
  <si>
    <t>62.46</t>
  </si>
  <si>
    <t>69.17</t>
  </si>
  <si>
    <t>95.04</t>
  </si>
  <si>
    <t>马政垲</t>
  </si>
  <si>
    <t>66.97</t>
  </si>
  <si>
    <t>63.9</t>
  </si>
  <si>
    <t>66.59</t>
  </si>
  <si>
    <t>61.9</t>
  </si>
  <si>
    <t>92.37</t>
  </si>
  <si>
    <t>吕博森</t>
  </si>
  <si>
    <t>62.22</t>
  </si>
  <si>
    <t>78.02</t>
  </si>
  <si>
    <t>57.3</t>
  </si>
  <si>
    <t>张翼</t>
  </si>
  <si>
    <t>74.82</t>
  </si>
  <si>
    <t>69.51</t>
  </si>
  <si>
    <t>97.83</t>
  </si>
  <si>
    <t>盛嘉</t>
  </si>
  <si>
    <t>66.37</t>
  </si>
  <si>
    <t>74.8</t>
  </si>
  <si>
    <t>71.71</t>
  </si>
  <si>
    <t>66.62</t>
  </si>
  <si>
    <t>96.59</t>
  </si>
  <si>
    <t>申泽钰</t>
  </si>
  <si>
    <t>74.6</t>
  </si>
  <si>
    <t>60.3</t>
  </si>
  <si>
    <t>62.68</t>
  </si>
  <si>
    <t>96.61</t>
  </si>
  <si>
    <t>曹一航</t>
  </si>
  <si>
    <t>64.2</t>
  </si>
  <si>
    <t>75.4</t>
  </si>
  <si>
    <t>63.18</t>
  </si>
  <si>
    <t>79.16</t>
  </si>
  <si>
    <t>58.64</t>
  </si>
  <si>
    <t>曹凯锋</t>
  </si>
  <si>
    <t>62.14</t>
  </si>
  <si>
    <t>62.63</t>
  </si>
  <si>
    <t>93.88</t>
  </si>
  <si>
    <t>靳智涛</t>
  </si>
  <si>
    <t>60.92</t>
  </si>
  <si>
    <t>67.5</t>
  </si>
  <si>
    <t>61.8</t>
  </si>
  <si>
    <t>94.94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</si>
</sst>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6"/>
  <sheetViews>
    <sheetView tabSelected="1" workbookViewId="0">
      <pane xSplit="3" topLeftCell="U1" activePane="topRight" state="frozen"/>
      <selection/>
      <selection pane="topRight" activeCell="AB5" sqref="AB5"/>
    </sheetView>
  </sheetViews>
  <sheetFormatPr defaultColWidth="8" defaultRowHeight="14.4"/>
  <cols>
    <col min="1" max="1" width="5.03787878787879" style="1" customWidth="1"/>
    <col min="2" max="2" width="11.0606060606061" style="1" customWidth="1"/>
    <col min="3" max="3" width="6.12878787878788" style="1" customWidth="1"/>
    <col min="4" max="4" width="10.469696969697" style="1" customWidth="1"/>
    <col min="5" max="5" width="8" style="1" customWidth="1"/>
    <col min="6" max="6" width="13.2727272727273" style="1" customWidth="1"/>
    <col min="7" max="7" width="9.09090909090909" style="1" customWidth="1"/>
    <col min="8" max="8" width="12.7272727272727" style="1" customWidth="1"/>
    <col min="9" max="9" width="5.18181818181818" style="1" customWidth="1"/>
    <col min="10" max="10" width="12.4545454545455" style="1" customWidth="1"/>
    <col min="11" max="11" width="7" style="1" customWidth="1"/>
    <col min="12" max="12" width="9.57575757575758" style="1" customWidth="1"/>
    <col min="13" max="13" width="15.3636363636364" style="1" customWidth="1"/>
    <col min="14" max="15" width="14.4545454545455" style="1" customWidth="1"/>
    <col min="16" max="16" width="10.5454545454545" style="1" customWidth="1"/>
    <col min="17" max="17" width="9.57575757575758" style="1" customWidth="1"/>
    <col min="18" max="18" width="13.219696969697" style="1" customWidth="1"/>
    <col min="19" max="19" width="5.63636363636364" style="1" customWidth="1"/>
    <col min="20" max="20" width="8.02272727272727" style="1" customWidth="1"/>
    <col min="21" max="21" width="12.7348484848485" style="1" customWidth="1"/>
    <col min="22" max="22" width="15.0681818181818" style="1" customWidth="1"/>
    <col min="23" max="23" width="13.9242424242424" style="1" customWidth="1"/>
    <col min="24" max="24" width="14.5984848484848" style="1" customWidth="1"/>
    <col min="25" max="25" width="15.1136363636364" style="1" customWidth="1"/>
    <col min="26" max="26" width="15.3333333333333" style="1" customWidth="1"/>
    <col min="27" max="27" width="14.9318181818182" style="1" customWidth="1"/>
    <col min="28" max="29" width="6.71969696969697" style="1" customWidth="1"/>
    <col min="30" max="30" width="6.51515151515152" style="1" customWidth="1"/>
    <col min="31" max="31" width="5.23484848484848" style="1" customWidth="1"/>
    <col min="32" max="32" width="10.3636363636364" style="1"/>
    <col min="33" max="16384" width="8" style="1"/>
  </cols>
  <sheetData>
    <row r="1" ht="21" customHeight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28</v>
      </c>
      <c r="AE1" s="2" t="s">
        <v>29</v>
      </c>
    </row>
    <row r="2" spans="1:31">
      <c r="A2" s="2">
        <v>4</v>
      </c>
      <c r="B2" s="2">
        <v>20221614603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>
        <v>92.5</v>
      </c>
      <c r="J2" s="2">
        <v>94.35</v>
      </c>
      <c r="K2" s="2">
        <v>87.43</v>
      </c>
      <c r="L2" s="2">
        <v>89.9</v>
      </c>
      <c r="M2" s="2">
        <v>86.73</v>
      </c>
      <c r="N2" s="2" t="s">
        <v>36</v>
      </c>
      <c r="O2" s="2">
        <v>82.4</v>
      </c>
      <c r="P2" s="2">
        <v>96.25</v>
      </c>
      <c r="Q2" s="5">
        <v>88.05</v>
      </c>
      <c r="R2" s="6">
        <v>86.32</v>
      </c>
      <c r="S2" s="6">
        <v>85.4</v>
      </c>
      <c r="T2" s="6">
        <v>85.8</v>
      </c>
      <c r="U2" s="6">
        <v>90.5</v>
      </c>
      <c r="V2" s="6">
        <v>90.49</v>
      </c>
      <c r="W2" s="6">
        <v>79.5</v>
      </c>
      <c r="X2" s="6">
        <v>83.3</v>
      </c>
      <c r="Y2" s="6">
        <v>79.06</v>
      </c>
      <c r="Z2" s="6">
        <v>87.33</v>
      </c>
      <c r="AA2" s="6">
        <v>87.75</v>
      </c>
      <c r="AB2" s="6">
        <f t="shared" ref="AB2:AB46" si="0">E2+F2+G2+H2+I2+J2+K2+L2+M2+O2+P2+Q2+R2+S2+T2+U2+V2+W2+X2+Y2+Z2+AA2+N2</f>
        <v>2006.34</v>
      </c>
      <c r="AC2" s="6">
        <f t="shared" ref="AC2:AC46" si="1">AB2/2</f>
        <v>1003.17</v>
      </c>
      <c r="AD2" s="7">
        <f t="shared" ref="AD2:AD46" si="2">AB2/23</f>
        <v>87.2321739130435</v>
      </c>
      <c r="AE2" s="6">
        <v>1</v>
      </c>
    </row>
    <row r="3" spans="1:31">
      <c r="A3" s="2">
        <v>38</v>
      </c>
      <c r="B3" s="2">
        <v>20221614832</v>
      </c>
      <c r="C3" s="2" t="s">
        <v>37</v>
      </c>
      <c r="D3" s="2" t="s">
        <v>31</v>
      </c>
      <c r="E3" s="2" t="s">
        <v>38</v>
      </c>
      <c r="F3" s="2" t="s">
        <v>39</v>
      </c>
      <c r="G3" s="2" t="s">
        <v>40</v>
      </c>
      <c r="H3" s="2" t="s">
        <v>41</v>
      </c>
      <c r="I3" s="2">
        <v>81.6</v>
      </c>
      <c r="J3" s="2">
        <v>88.2</v>
      </c>
      <c r="K3" s="2">
        <v>85.23</v>
      </c>
      <c r="L3" s="2">
        <v>89.88</v>
      </c>
      <c r="M3" s="2">
        <v>81.52</v>
      </c>
      <c r="N3" s="2" t="s">
        <v>36</v>
      </c>
      <c r="O3" s="2">
        <v>89.5</v>
      </c>
      <c r="P3" s="2">
        <v>96.25</v>
      </c>
      <c r="Q3" s="6">
        <v>90.28</v>
      </c>
      <c r="R3" s="6">
        <v>85.9</v>
      </c>
      <c r="S3" s="6">
        <v>81.6</v>
      </c>
      <c r="T3" s="6">
        <v>87.75</v>
      </c>
      <c r="U3" s="6">
        <v>93.1</v>
      </c>
      <c r="V3" s="6">
        <v>91.65</v>
      </c>
      <c r="W3" s="6">
        <v>82.5</v>
      </c>
      <c r="X3" s="6">
        <v>90.05</v>
      </c>
      <c r="Y3" s="6">
        <v>85.18</v>
      </c>
      <c r="Z3" s="6">
        <v>88.56</v>
      </c>
      <c r="AA3" s="6">
        <v>82.02</v>
      </c>
      <c r="AB3" s="6">
        <f t="shared" si="0"/>
        <v>2004.02</v>
      </c>
      <c r="AC3" s="6">
        <f t="shared" si="1"/>
        <v>1002.01</v>
      </c>
      <c r="AD3" s="7">
        <f t="shared" si="2"/>
        <v>87.1313043478261</v>
      </c>
      <c r="AE3" s="6">
        <v>2</v>
      </c>
    </row>
    <row r="4" spans="1:31">
      <c r="A4" s="2">
        <v>8</v>
      </c>
      <c r="B4" s="2">
        <v>20221614610</v>
      </c>
      <c r="C4" s="2" t="s">
        <v>42</v>
      </c>
      <c r="D4" s="2" t="s">
        <v>31</v>
      </c>
      <c r="E4" s="2" t="s">
        <v>43</v>
      </c>
      <c r="F4" s="2" t="s">
        <v>44</v>
      </c>
      <c r="G4" s="2" t="s">
        <v>45</v>
      </c>
      <c r="H4" s="2" t="s">
        <v>46</v>
      </c>
      <c r="I4" s="2">
        <v>86.98</v>
      </c>
      <c r="J4" s="2">
        <v>84.15</v>
      </c>
      <c r="K4" s="2">
        <v>85.6</v>
      </c>
      <c r="L4" s="2">
        <v>80.76</v>
      </c>
      <c r="M4" s="2">
        <v>84.6</v>
      </c>
      <c r="N4" s="2" t="s">
        <v>47</v>
      </c>
      <c r="O4" s="2">
        <v>75.2</v>
      </c>
      <c r="P4" s="2">
        <v>96.25</v>
      </c>
      <c r="Q4" s="6">
        <v>81.48</v>
      </c>
      <c r="R4" s="6">
        <v>97.41</v>
      </c>
      <c r="S4" s="6">
        <v>85.64</v>
      </c>
      <c r="T4" s="6">
        <v>91.28</v>
      </c>
      <c r="U4" s="6">
        <v>95.4</v>
      </c>
      <c r="V4" s="6">
        <v>91.05</v>
      </c>
      <c r="W4" s="6">
        <v>80</v>
      </c>
      <c r="X4" s="6">
        <v>82.5</v>
      </c>
      <c r="Y4" s="6">
        <v>84.65</v>
      </c>
      <c r="Z4" s="6">
        <v>91.6</v>
      </c>
      <c r="AA4" s="6">
        <v>80.99</v>
      </c>
      <c r="AB4" s="6">
        <f t="shared" si="0"/>
        <v>1996.91</v>
      </c>
      <c r="AC4" s="6">
        <f t="shared" si="1"/>
        <v>998.455</v>
      </c>
      <c r="AD4" s="7">
        <f t="shared" si="2"/>
        <v>86.8221739130435</v>
      </c>
      <c r="AE4" s="6">
        <v>3</v>
      </c>
    </row>
    <row r="5" spans="1:31">
      <c r="A5" s="2">
        <v>6</v>
      </c>
      <c r="B5" s="2">
        <v>20221614608</v>
      </c>
      <c r="C5" s="2" t="s">
        <v>48</v>
      </c>
      <c r="D5" s="2" t="s">
        <v>31</v>
      </c>
      <c r="E5" s="2" t="s">
        <v>49</v>
      </c>
      <c r="F5" s="2" t="s">
        <v>50</v>
      </c>
      <c r="G5" s="2" t="s">
        <v>51</v>
      </c>
      <c r="H5" s="2" t="s">
        <v>52</v>
      </c>
      <c r="I5" s="2">
        <v>88</v>
      </c>
      <c r="J5" s="2">
        <v>81.25</v>
      </c>
      <c r="K5" s="2">
        <v>79.9</v>
      </c>
      <c r="L5" s="2">
        <v>88.64</v>
      </c>
      <c r="M5" s="2">
        <v>83.93</v>
      </c>
      <c r="N5" s="2" t="s">
        <v>53</v>
      </c>
      <c r="O5" s="2">
        <v>76.1</v>
      </c>
      <c r="P5" s="2">
        <v>100</v>
      </c>
      <c r="Q5" s="6">
        <v>80.95</v>
      </c>
      <c r="R5" s="6">
        <v>88.3</v>
      </c>
      <c r="S5" s="6">
        <v>80.2</v>
      </c>
      <c r="T5" s="6">
        <v>87.74</v>
      </c>
      <c r="U5" s="6">
        <v>94.7</v>
      </c>
      <c r="V5" s="6">
        <v>89.79</v>
      </c>
      <c r="W5" s="6">
        <v>84.5</v>
      </c>
      <c r="X5" s="6">
        <v>82</v>
      </c>
      <c r="Y5" s="6">
        <v>81.36</v>
      </c>
      <c r="Z5" s="6">
        <v>81.79</v>
      </c>
      <c r="AA5" s="6">
        <v>80.68</v>
      </c>
      <c r="AB5" s="6">
        <f t="shared" si="0"/>
        <v>1973.42</v>
      </c>
      <c r="AC5" s="6">
        <f t="shared" si="1"/>
        <v>986.71</v>
      </c>
      <c r="AD5" s="7">
        <f t="shared" si="2"/>
        <v>85.8008695652174</v>
      </c>
      <c r="AE5" s="6">
        <v>4</v>
      </c>
    </row>
    <row r="6" spans="1:31">
      <c r="A6" s="2">
        <v>34</v>
      </c>
      <c r="B6" s="2">
        <v>20221614813</v>
      </c>
      <c r="C6" s="2" t="s">
        <v>54</v>
      </c>
      <c r="D6" s="2" t="s">
        <v>31</v>
      </c>
      <c r="E6" s="2" t="s">
        <v>55</v>
      </c>
      <c r="F6" s="2" t="s">
        <v>56</v>
      </c>
      <c r="G6" s="2" t="s">
        <v>57</v>
      </c>
      <c r="H6" s="2" t="s">
        <v>58</v>
      </c>
      <c r="I6" s="2">
        <v>80</v>
      </c>
      <c r="J6" s="2">
        <v>82.85</v>
      </c>
      <c r="K6" s="2">
        <v>84.33</v>
      </c>
      <c r="L6" s="2">
        <v>87.14</v>
      </c>
      <c r="M6" s="2">
        <v>82.74</v>
      </c>
      <c r="N6" s="2" t="s">
        <v>59</v>
      </c>
      <c r="O6" s="2">
        <v>79</v>
      </c>
      <c r="P6" s="2">
        <v>96.25</v>
      </c>
      <c r="Q6" s="6">
        <v>78</v>
      </c>
      <c r="R6" s="6">
        <v>91.2</v>
      </c>
      <c r="S6" s="6">
        <v>84</v>
      </c>
      <c r="T6" s="6">
        <v>84.96</v>
      </c>
      <c r="U6" s="6">
        <v>86.4</v>
      </c>
      <c r="V6" s="6">
        <v>89.04</v>
      </c>
      <c r="W6" s="6">
        <v>80.5</v>
      </c>
      <c r="X6" s="6">
        <v>91.9</v>
      </c>
      <c r="Y6" s="6">
        <v>80.53</v>
      </c>
      <c r="Z6" s="6">
        <v>84.5</v>
      </c>
      <c r="AA6" s="6">
        <v>84.05</v>
      </c>
      <c r="AB6" s="6">
        <f t="shared" si="0"/>
        <v>1946.93</v>
      </c>
      <c r="AC6" s="6">
        <f t="shared" si="1"/>
        <v>973.465</v>
      </c>
      <c r="AD6" s="7">
        <f t="shared" si="2"/>
        <v>84.6491304347826</v>
      </c>
      <c r="AE6" s="6">
        <v>5</v>
      </c>
    </row>
    <row r="7" spans="1:31">
      <c r="A7" s="2">
        <v>28</v>
      </c>
      <c r="B7" s="2">
        <v>20221614747</v>
      </c>
      <c r="C7" s="2" t="s">
        <v>60</v>
      </c>
      <c r="D7" s="2" t="s">
        <v>31</v>
      </c>
      <c r="E7" s="2" t="s">
        <v>61</v>
      </c>
      <c r="F7" s="2" t="s">
        <v>62</v>
      </c>
      <c r="G7" s="2" t="s">
        <v>63</v>
      </c>
      <c r="H7" s="2" t="s">
        <v>64</v>
      </c>
      <c r="I7" s="2">
        <v>88.6</v>
      </c>
      <c r="J7" s="2">
        <v>83.4</v>
      </c>
      <c r="K7" s="2">
        <v>83.85</v>
      </c>
      <c r="L7" s="2">
        <v>87.22</v>
      </c>
      <c r="M7" s="2">
        <v>80.25</v>
      </c>
      <c r="N7" s="2" t="s">
        <v>65</v>
      </c>
      <c r="O7" s="2">
        <v>74.9</v>
      </c>
      <c r="P7" s="2">
        <v>100</v>
      </c>
      <c r="Q7" s="6">
        <v>76.08</v>
      </c>
      <c r="R7" s="6">
        <v>77.4</v>
      </c>
      <c r="S7" s="6">
        <v>87.9</v>
      </c>
      <c r="T7" s="6">
        <v>88.8</v>
      </c>
      <c r="U7" s="6">
        <v>93.65</v>
      </c>
      <c r="V7" s="6">
        <v>90.26</v>
      </c>
      <c r="W7" s="6">
        <v>85.5</v>
      </c>
      <c r="X7" s="6">
        <v>89.05</v>
      </c>
      <c r="Y7" s="6">
        <v>75.3</v>
      </c>
      <c r="Z7" s="6">
        <v>84.36</v>
      </c>
      <c r="AA7" s="6">
        <v>85.5</v>
      </c>
      <c r="AB7" s="6">
        <f t="shared" si="0"/>
        <v>1932.08</v>
      </c>
      <c r="AC7" s="6">
        <f t="shared" si="1"/>
        <v>966.04</v>
      </c>
      <c r="AD7" s="7">
        <f t="shared" si="2"/>
        <v>84.0034782608696</v>
      </c>
      <c r="AE7" s="6">
        <v>6</v>
      </c>
    </row>
    <row r="8" spans="1:31">
      <c r="A8" s="2">
        <v>33</v>
      </c>
      <c r="B8" s="2">
        <v>20221614811</v>
      </c>
      <c r="C8" s="2" t="s">
        <v>66</v>
      </c>
      <c r="D8" s="2" t="s">
        <v>31</v>
      </c>
      <c r="E8" s="2" t="s">
        <v>67</v>
      </c>
      <c r="F8" s="2" t="s">
        <v>68</v>
      </c>
      <c r="G8" s="2" t="s">
        <v>69</v>
      </c>
      <c r="H8" s="2" t="s">
        <v>70</v>
      </c>
      <c r="I8" s="2">
        <v>85.9</v>
      </c>
      <c r="J8" s="2">
        <v>80.35</v>
      </c>
      <c r="K8" s="2">
        <v>85.24</v>
      </c>
      <c r="L8" s="2">
        <v>84.8</v>
      </c>
      <c r="M8" s="2">
        <v>79.08</v>
      </c>
      <c r="N8" s="2" t="s">
        <v>71</v>
      </c>
      <c r="O8" s="2">
        <v>79.7</v>
      </c>
      <c r="P8" s="2">
        <v>100</v>
      </c>
      <c r="Q8" s="6">
        <v>85.45</v>
      </c>
      <c r="R8" s="6">
        <v>82.07</v>
      </c>
      <c r="S8" s="6">
        <v>83.85</v>
      </c>
      <c r="T8" s="6">
        <v>81.69</v>
      </c>
      <c r="U8" s="6">
        <v>90.95</v>
      </c>
      <c r="V8" s="6">
        <v>79.06</v>
      </c>
      <c r="W8" s="6">
        <v>77</v>
      </c>
      <c r="X8" s="6">
        <v>88.1</v>
      </c>
      <c r="Y8" s="6">
        <v>76.46</v>
      </c>
      <c r="Z8" s="6">
        <v>78.17</v>
      </c>
      <c r="AA8" s="6">
        <v>72.18</v>
      </c>
      <c r="AB8" s="6">
        <f t="shared" si="0"/>
        <v>1903.46</v>
      </c>
      <c r="AC8" s="6">
        <f t="shared" si="1"/>
        <v>951.73</v>
      </c>
      <c r="AD8" s="7">
        <f t="shared" si="2"/>
        <v>82.7591304347826</v>
      </c>
      <c r="AE8" s="6">
        <v>7</v>
      </c>
    </row>
    <row r="9" spans="1:31">
      <c r="A9" s="2">
        <v>18</v>
      </c>
      <c r="B9" s="2">
        <v>20221614716</v>
      </c>
      <c r="C9" s="2" t="s">
        <v>72</v>
      </c>
      <c r="D9" s="2" t="s">
        <v>31</v>
      </c>
      <c r="E9" s="2" t="s">
        <v>73</v>
      </c>
      <c r="F9" s="2" t="s">
        <v>74</v>
      </c>
      <c r="G9" s="2" t="s">
        <v>75</v>
      </c>
      <c r="H9" s="2" t="s">
        <v>76</v>
      </c>
      <c r="I9" s="2">
        <v>84.1</v>
      </c>
      <c r="J9" s="2">
        <v>77.58</v>
      </c>
      <c r="K9" s="2">
        <v>81.48</v>
      </c>
      <c r="L9" s="2">
        <v>87.65</v>
      </c>
      <c r="M9" s="2">
        <v>81.57</v>
      </c>
      <c r="N9" s="2" t="s">
        <v>77</v>
      </c>
      <c r="O9" s="2">
        <v>75.9</v>
      </c>
      <c r="P9" s="2">
        <v>96.25</v>
      </c>
      <c r="Q9" s="6">
        <v>81.96</v>
      </c>
      <c r="R9" s="6">
        <v>85.8</v>
      </c>
      <c r="S9" s="6">
        <v>86.4</v>
      </c>
      <c r="T9" s="6">
        <v>90.2</v>
      </c>
      <c r="U9" s="6">
        <v>75.7</v>
      </c>
      <c r="V9" s="6">
        <v>86.33</v>
      </c>
      <c r="W9" s="6">
        <v>69</v>
      </c>
      <c r="X9" s="6">
        <v>83.3</v>
      </c>
      <c r="Y9" s="6">
        <v>83.33</v>
      </c>
      <c r="Z9" s="6">
        <v>86.79</v>
      </c>
      <c r="AA9" s="6">
        <v>78.52</v>
      </c>
      <c r="AB9" s="6">
        <f t="shared" si="0"/>
        <v>1896.7</v>
      </c>
      <c r="AC9" s="6">
        <f t="shared" si="1"/>
        <v>948.35</v>
      </c>
      <c r="AD9" s="7">
        <f t="shared" si="2"/>
        <v>82.4652173913043</v>
      </c>
      <c r="AE9" s="6">
        <v>8</v>
      </c>
    </row>
    <row r="10" spans="1:31">
      <c r="A10" s="2">
        <v>32</v>
      </c>
      <c r="B10" s="2">
        <v>20221614803</v>
      </c>
      <c r="C10" s="2" t="s">
        <v>78</v>
      </c>
      <c r="D10" s="2" t="s">
        <v>31</v>
      </c>
      <c r="E10" s="2" t="s">
        <v>79</v>
      </c>
      <c r="F10" s="2" t="s">
        <v>80</v>
      </c>
      <c r="G10" s="2" t="s">
        <v>81</v>
      </c>
      <c r="H10" s="2" t="s">
        <v>82</v>
      </c>
      <c r="I10" s="2">
        <v>83.4</v>
      </c>
      <c r="J10" s="2">
        <v>84.9</v>
      </c>
      <c r="K10" s="2">
        <v>79.93</v>
      </c>
      <c r="L10" s="2">
        <v>86.29</v>
      </c>
      <c r="M10" s="2">
        <v>76.48</v>
      </c>
      <c r="N10" s="2" t="s">
        <v>83</v>
      </c>
      <c r="O10" s="2">
        <v>83.1</v>
      </c>
      <c r="P10" s="2">
        <v>96.25</v>
      </c>
      <c r="Q10" s="6">
        <v>75.48</v>
      </c>
      <c r="R10" s="6">
        <v>69.6</v>
      </c>
      <c r="S10" s="6">
        <v>71.5</v>
      </c>
      <c r="T10" s="6">
        <v>88.46</v>
      </c>
      <c r="U10" s="6">
        <v>89.01</v>
      </c>
      <c r="V10" s="6">
        <v>87.09</v>
      </c>
      <c r="W10" s="6">
        <v>77</v>
      </c>
      <c r="X10" s="6">
        <v>91</v>
      </c>
      <c r="Y10" s="6">
        <v>76.45</v>
      </c>
      <c r="Z10" s="6">
        <v>79.12</v>
      </c>
      <c r="AA10" s="6">
        <v>77.21</v>
      </c>
      <c r="AB10" s="6">
        <f t="shared" si="0"/>
        <v>1882.57</v>
      </c>
      <c r="AC10" s="6">
        <f t="shared" si="1"/>
        <v>941.285</v>
      </c>
      <c r="AD10" s="7">
        <f t="shared" si="2"/>
        <v>81.8508695652174</v>
      </c>
      <c r="AE10" s="6">
        <v>9</v>
      </c>
    </row>
    <row r="11" spans="1:31">
      <c r="A11" s="2">
        <v>5</v>
      </c>
      <c r="B11" s="2">
        <v>20221614604</v>
      </c>
      <c r="C11" s="2" t="s">
        <v>84</v>
      </c>
      <c r="D11" s="2" t="s">
        <v>31</v>
      </c>
      <c r="E11" s="2" t="s">
        <v>85</v>
      </c>
      <c r="F11" s="2" t="s">
        <v>86</v>
      </c>
      <c r="G11" s="2" t="s">
        <v>87</v>
      </c>
      <c r="H11" s="2" t="s">
        <v>88</v>
      </c>
      <c r="I11" s="2">
        <v>86.5</v>
      </c>
      <c r="J11" s="2">
        <v>86.28</v>
      </c>
      <c r="K11" s="2">
        <v>78.05</v>
      </c>
      <c r="L11" s="2">
        <v>83.32</v>
      </c>
      <c r="M11" s="2">
        <v>82.86</v>
      </c>
      <c r="N11" s="3" t="s">
        <v>89</v>
      </c>
      <c r="O11" s="2">
        <v>70.4</v>
      </c>
      <c r="P11" s="2">
        <v>88</v>
      </c>
      <c r="Q11" s="6">
        <v>82.28</v>
      </c>
      <c r="R11" s="6">
        <v>90.87</v>
      </c>
      <c r="S11" s="6">
        <v>75.66</v>
      </c>
      <c r="T11" s="6">
        <v>84.27</v>
      </c>
      <c r="U11" s="6">
        <v>91.58</v>
      </c>
      <c r="V11" s="6">
        <v>92.21</v>
      </c>
      <c r="W11" s="6">
        <v>77</v>
      </c>
      <c r="X11" s="6">
        <v>86.25</v>
      </c>
      <c r="Y11" s="6">
        <v>75.93</v>
      </c>
      <c r="Z11" s="6">
        <v>87.32</v>
      </c>
      <c r="AA11" s="6">
        <v>79.98</v>
      </c>
      <c r="AB11" s="6">
        <f t="shared" si="0"/>
        <v>1880.36</v>
      </c>
      <c r="AC11" s="6">
        <f t="shared" si="1"/>
        <v>940.18</v>
      </c>
      <c r="AD11" s="7">
        <f t="shared" si="2"/>
        <v>81.7547826086956</v>
      </c>
      <c r="AE11" s="6">
        <v>10</v>
      </c>
    </row>
    <row r="12" spans="1:31">
      <c r="A12" s="2">
        <v>35</v>
      </c>
      <c r="B12" s="2">
        <v>20221614819</v>
      </c>
      <c r="C12" s="2" t="s">
        <v>90</v>
      </c>
      <c r="D12" s="2" t="s">
        <v>31</v>
      </c>
      <c r="E12" s="2" t="s">
        <v>91</v>
      </c>
      <c r="F12" s="2" t="s">
        <v>92</v>
      </c>
      <c r="G12" s="2" t="s">
        <v>93</v>
      </c>
      <c r="H12" s="2" t="s">
        <v>94</v>
      </c>
      <c r="I12" s="2">
        <v>81.4</v>
      </c>
      <c r="J12" s="2">
        <v>73.88</v>
      </c>
      <c r="K12" s="2">
        <v>82.95</v>
      </c>
      <c r="L12" s="2">
        <v>86.05</v>
      </c>
      <c r="M12" s="2">
        <v>78.9</v>
      </c>
      <c r="N12" s="2" t="s">
        <v>95</v>
      </c>
      <c r="O12" s="2">
        <v>72.4</v>
      </c>
      <c r="P12" s="2">
        <v>96.25</v>
      </c>
      <c r="Q12" s="6">
        <v>72.37</v>
      </c>
      <c r="R12" s="3" t="s">
        <v>96</v>
      </c>
      <c r="S12" s="6">
        <v>81.96</v>
      </c>
      <c r="T12" s="6">
        <v>84.4</v>
      </c>
      <c r="U12" s="6">
        <v>75.08</v>
      </c>
      <c r="V12" s="6">
        <v>90.87</v>
      </c>
      <c r="W12" s="6">
        <v>83.5</v>
      </c>
      <c r="X12" s="6">
        <v>88.1</v>
      </c>
      <c r="Y12" s="6">
        <v>82.68</v>
      </c>
      <c r="Z12" s="6">
        <v>80.48</v>
      </c>
      <c r="AA12" s="6">
        <v>76.62</v>
      </c>
      <c r="AB12" s="6">
        <f t="shared" si="0"/>
        <v>1843.8</v>
      </c>
      <c r="AC12" s="6">
        <f t="shared" si="1"/>
        <v>921.9</v>
      </c>
      <c r="AD12" s="7">
        <f t="shared" si="2"/>
        <v>80.1652173913044</v>
      </c>
      <c r="AE12" s="6">
        <v>11</v>
      </c>
    </row>
    <row r="13" spans="1:31">
      <c r="A13" s="2">
        <v>17</v>
      </c>
      <c r="B13" s="2">
        <v>20221614714</v>
      </c>
      <c r="C13" s="2" t="s">
        <v>97</v>
      </c>
      <c r="D13" s="2" t="s">
        <v>31</v>
      </c>
      <c r="E13" s="2" t="s">
        <v>98</v>
      </c>
      <c r="F13" s="2" t="s">
        <v>99</v>
      </c>
      <c r="G13" s="2" t="s">
        <v>100</v>
      </c>
      <c r="H13" s="2" t="s">
        <v>101</v>
      </c>
      <c r="I13" s="2">
        <v>80.2</v>
      </c>
      <c r="J13" s="2">
        <v>75.45</v>
      </c>
      <c r="K13" s="4">
        <v>78.49</v>
      </c>
      <c r="L13" s="2">
        <v>78.84</v>
      </c>
      <c r="M13" s="2">
        <v>72.65</v>
      </c>
      <c r="N13" s="2" t="s">
        <v>102</v>
      </c>
      <c r="O13" s="2">
        <v>74.75</v>
      </c>
      <c r="P13" s="2">
        <v>99</v>
      </c>
      <c r="Q13" s="6">
        <v>86.13</v>
      </c>
      <c r="R13" s="6">
        <v>87.7</v>
      </c>
      <c r="S13" s="6">
        <v>83.28</v>
      </c>
      <c r="T13" s="6">
        <v>84.82</v>
      </c>
      <c r="U13" s="6">
        <v>81.15</v>
      </c>
      <c r="V13" s="6">
        <v>85.46</v>
      </c>
      <c r="W13" s="6">
        <v>81.5</v>
      </c>
      <c r="X13" s="6">
        <v>87.6</v>
      </c>
      <c r="Y13" s="6">
        <v>70.05</v>
      </c>
      <c r="Z13" s="6">
        <v>76.83</v>
      </c>
      <c r="AA13" s="6">
        <v>70.38</v>
      </c>
      <c r="AB13" s="6">
        <f t="shared" si="0"/>
        <v>1843.47</v>
      </c>
      <c r="AC13" s="6">
        <f t="shared" si="1"/>
        <v>921.735</v>
      </c>
      <c r="AD13" s="7">
        <f t="shared" si="2"/>
        <v>80.1508695652174</v>
      </c>
      <c r="AE13" s="6">
        <v>12</v>
      </c>
    </row>
    <row r="14" spans="1:31">
      <c r="A14" s="2">
        <v>19</v>
      </c>
      <c r="B14" s="2">
        <v>20221614717</v>
      </c>
      <c r="C14" s="2" t="s">
        <v>103</v>
      </c>
      <c r="D14" s="2" t="s">
        <v>31</v>
      </c>
      <c r="E14" s="2" t="s">
        <v>104</v>
      </c>
      <c r="F14" s="2" t="s">
        <v>105</v>
      </c>
      <c r="G14" s="2" t="s">
        <v>106</v>
      </c>
      <c r="H14" s="2" t="s">
        <v>107</v>
      </c>
      <c r="I14" s="2">
        <v>75.1</v>
      </c>
      <c r="J14" s="2">
        <v>80.28</v>
      </c>
      <c r="K14" s="2">
        <v>75.99</v>
      </c>
      <c r="L14" s="2">
        <v>85.78</v>
      </c>
      <c r="M14" s="2">
        <v>77.94</v>
      </c>
      <c r="N14" s="2" t="s">
        <v>108</v>
      </c>
      <c r="O14" s="2">
        <v>72.75</v>
      </c>
      <c r="P14" s="2">
        <v>88</v>
      </c>
      <c r="Q14" s="6">
        <v>80.25</v>
      </c>
      <c r="R14" s="6">
        <v>89.02</v>
      </c>
      <c r="S14" s="6">
        <v>71.4</v>
      </c>
      <c r="T14" s="6">
        <v>85.57</v>
      </c>
      <c r="U14" s="6">
        <v>77.9</v>
      </c>
      <c r="V14" s="6">
        <v>86.64</v>
      </c>
      <c r="W14" s="6">
        <v>71.5</v>
      </c>
      <c r="X14" s="6">
        <v>83.3</v>
      </c>
      <c r="Y14" s="6">
        <v>72.91</v>
      </c>
      <c r="Z14" s="6">
        <v>75.45</v>
      </c>
      <c r="AA14" s="6">
        <v>68.61</v>
      </c>
      <c r="AB14" s="6">
        <f t="shared" si="0"/>
        <v>1839.3</v>
      </c>
      <c r="AC14" s="6">
        <f t="shared" si="1"/>
        <v>919.65</v>
      </c>
      <c r="AD14" s="7">
        <f t="shared" si="2"/>
        <v>79.9695652173913</v>
      </c>
      <c r="AE14" s="6">
        <v>13</v>
      </c>
    </row>
    <row r="15" spans="1:31">
      <c r="A15" s="2">
        <v>9</v>
      </c>
      <c r="B15" s="2">
        <v>20221614611</v>
      </c>
      <c r="C15" s="2" t="s">
        <v>109</v>
      </c>
      <c r="D15" s="2" t="s">
        <v>31</v>
      </c>
      <c r="E15" s="2" t="s">
        <v>110</v>
      </c>
      <c r="F15" s="2" t="s">
        <v>111</v>
      </c>
      <c r="G15" s="2" t="s">
        <v>112</v>
      </c>
      <c r="H15" s="2" t="s">
        <v>113</v>
      </c>
      <c r="I15" s="2">
        <v>81.48</v>
      </c>
      <c r="J15" s="2">
        <v>77.83</v>
      </c>
      <c r="K15" s="2">
        <v>75.47</v>
      </c>
      <c r="L15" s="2">
        <v>84.51</v>
      </c>
      <c r="M15" s="2">
        <v>80.61</v>
      </c>
      <c r="N15" s="3" t="s">
        <v>114</v>
      </c>
      <c r="O15" s="2">
        <v>75.9</v>
      </c>
      <c r="P15" s="2">
        <v>96.25</v>
      </c>
      <c r="Q15" s="6">
        <v>80.66</v>
      </c>
      <c r="R15" s="6">
        <v>79.75</v>
      </c>
      <c r="S15" s="6">
        <v>91.04</v>
      </c>
      <c r="T15" s="6">
        <v>87.66</v>
      </c>
      <c r="U15" s="6">
        <v>74.72</v>
      </c>
      <c r="V15" s="6">
        <v>79.8</v>
      </c>
      <c r="W15" s="6">
        <v>80</v>
      </c>
      <c r="X15" s="6">
        <v>77.25</v>
      </c>
      <c r="Y15" s="6">
        <v>80.08</v>
      </c>
      <c r="Z15" s="6">
        <v>85.63</v>
      </c>
      <c r="AA15" s="6">
        <v>74.26</v>
      </c>
      <c r="AB15" s="6">
        <f t="shared" si="0"/>
        <v>1835.39</v>
      </c>
      <c r="AC15" s="6">
        <f t="shared" si="1"/>
        <v>917.695</v>
      </c>
      <c r="AD15" s="7">
        <f t="shared" si="2"/>
        <v>79.7995652173913</v>
      </c>
      <c r="AE15" s="6">
        <v>14</v>
      </c>
    </row>
    <row r="16" spans="1:31">
      <c r="A16" s="2">
        <v>30</v>
      </c>
      <c r="B16" s="2" t="s">
        <v>115</v>
      </c>
      <c r="C16" s="2" t="s">
        <v>116</v>
      </c>
      <c r="D16" s="2" t="s">
        <v>31</v>
      </c>
      <c r="E16" s="2" t="s">
        <v>117</v>
      </c>
      <c r="F16" s="2" t="s">
        <v>118</v>
      </c>
      <c r="G16" s="2" t="s">
        <v>119</v>
      </c>
      <c r="H16" s="2" t="s">
        <v>120</v>
      </c>
      <c r="I16" s="2">
        <v>83.8</v>
      </c>
      <c r="J16" s="4">
        <v>78.45</v>
      </c>
      <c r="K16" s="2">
        <v>81.53</v>
      </c>
      <c r="L16" s="2">
        <v>84.59</v>
      </c>
      <c r="M16" s="2">
        <v>76.16</v>
      </c>
      <c r="N16" s="2" t="s">
        <v>121</v>
      </c>
      <c r="O16" s="2">
        <v>74.9</v>
      </c>
      <c r="P16" s="2">
        <v>93.75</v>
      </c>
      <c r="Q16" s="6">
        <v>66.2</v>
      </c>
      <c r="R16" s="6">
        <v>71.38</v>
      </c>
      <c r="S16" s="6">
        <v>75.8</v>
      </c>
      <c r="T16" s="6">
        <v>78.47</v>
      </c>
      <c r="U16" s="6">
        <v>85.1</v>
      </c>
      <c r="V16" s="6">
        <v>83.35</v>
      </c>
      <c r="W16" s="6">
        <v>73.5</v>
      </c>
      <c r="X16" s="6">
        <v>78.05</v>
      </c>
      <c r="Y16" s="6">
        <v>74.25</v>
      </c>
      <c r="Z16" s="6">
        <v>77.04</v>
      </c>
      <c r="AA16" s="6">
        <v>76.16</v>
      </c>
      <c r="AB16" s="6">
        <f t="shared" si="0"/>
        <v>1813.31</v>
      </c>
      <c r="AC16" s="6">
        <f t="shared" si="1"/>
        <v>906.655</v>
      </c>
      <c r="AD16" s="7">
        <f t="shared" si="2"/>
        <v>78.8395652173913</v>
      </c>
      <c r="AE16" s="6">
        <v>15</v>
      </c>
    </row>
    <row r="17" spans="1:31">
      <c r="A17" s="2">
        <v>45</v>
      </c>
      <c r="B17" s="2">
        <v>20221614844</v>
      </c>
      <c r="C17" s="2" t="s">
        <v>122</v>
      </c>
      <c r="D17" s="2" t="s">
        <v>31</v>
      </c>
      <c r="E17" s="2" t="s">
        <v>123</v>
      </c>
      <c r="F17" s="2" t="s">
        <v>124</v>
      </c>
      <c r="G17" s="2" t="s">
        <v>125</v>
      </c>
      <c r="H17" s="2" t="s">
        <v>126</v>
      </c>
      <c r="I17" s="2">
        <v>82.6</v>
      </c>
      <c r="J17" s="4">
        <v>77.79</v>
      </c>
      <c r="K17" s="2">
        <v>79.82</v>
      </c>
      <c r="L17" s="2">
        <v>82.04</v>
      </c>
      <c r="M17" s="2">
        <v>79.1</v>
      </c>
      <c r="N17" s="2" t="s">
        <v>127</v>
      </c>
      <c r="O17" s="2">
        <v>72.75</v>
      </c>
      <c r="P17" s="2">
        <v>96.25</v>
      </c>
      <c r="Q17" s="6">
        <v>72.82</v>
      </c>
      <c r="R17" s="6">
        <v>62.28</v>
      </c>
      <c r="S17" s="6">
        <v>81.8</v>
      </c>
      <c r="T17" s="6">
        <v>79.35</v>
      </c>
      <c r="U17" s="6">
        <v>88.3</v>
      </c>
      <c r="V17" s="6">
        <v>83.54</v>
      </c>
      <c r="W17" s="6">
        <v>82</v>
      </c>
      <c r="X17" s="6">
        <v>82</v>
      </c>
      <c r="Y17" s="6">
        <v>69.5</v>
      </c>
      <c r="Z17" s="6">
        <v>74.79</v>
      </c>
      <c r="AA17" s="6">
        <v>74.18</v>
      </c>
      <c r="AB17" s="6">
        <f t="shared" si="0"/>
        <v>1804.02</v>
      </c>
      <c r="AC17" s="6">
        <f t="shared" si="1"/>
        <v>902.01</v>
      </c>
      <c r="AD17" s="7">
        <f t="shared" si="2"/>
        <v>78.435652173913</v>
      </c>
      <c r="AE17" s="6">
        <v>16</v>
      </c>
    </row>
    <row r="18" spans="1:31">
      <c r="A18" s="2">
        <v>36</v>
      </c>
      <c r="B18" s="2">
        <v>20221614826</v>
      </c>
      <c r="C18" s="2" t="s">
        <v>128</v>
      </c>
      <c r="D18" s="2" t="s">
        <v>31</v>
      </c>
      <c r="E18" s="2" t="s">
        <v>129</v>
      </c>
      <c r="F18" s="2" t="s">
        <v>130</v>
      </c>
      <c r="G18" s="2" t="s">
        <v>131</v>
      </c>
      <c r="H18" s="2" t="s">
        <v>132</v>
      </c>
      <c r="I18" s="2">
        <v>84.4</v>
      </c>
      <c r="J18" s="2">
        <v>75.23</v>
      </c>
      <c r="K18" s="2">
        <v>74.53</v>
      </c>
      <c r="L18" s="2">
        <v>80.03</v>
      </c>
      <c r="M18" s="2">
        <v>80.82</v>
      </c>
      <c r="N18" s="2" t="s">
        <v>133</v>
      </c>
      <c r="O18" s="2">
        <v>80.4</v>
      </c>
      <c r="P18" s="2">
        <v>96.25</v>
      </c>
      <c r="Q18" s="6">
        <v>64.29</v>
      </c>
      <c r="R18" s="6">
        <v>69.3</v>
      </c>
      <c r="S18" s="6">
        <v>73</v>
      </c>
      <c r="T18" s="6">
        <v>77.65</v>
      </c>
      <c r="U18" s="6">
        <v>74.78</v>
      </c>
      <c r="V18" s="6">
        <v>82.31</v>
      </c>
      <c r="W18" s="6">
        <v>81</v>
      </c>
      <c r="X18" s="6">
        <v>84.85</v>
      </c>
      <c r="Y18" s="6">
        <v>79.55</v>
      </c>
      <c r="Z18" s="6">
        <v>79.32</v>
      </c>
      <c r="AA18" s="6">
        <v>74.43</v>
      </c>
      <c r="AB18" s="6">
        <f t="shared" si="0"/>
        <v>1801.68</v>
      </c>
      <c r="AC18" s="6">
        <f t="shared" si="1"/>
        <v>900.84</v>
      </c>
      <c r="AD18" s="7">
        <f t="shared" si="2"/>
        <v>78.3339130434782</v>
      </c>
      <c r="AE18" s="6">
        <v>17</v>
      </c>
    </row>
    <row r="19" spans="1:31">
      <c r="A19" s="2">
        <v>1</v>
      </c>
      <c r="B19" s="2">
        <v>20221613839</v>
      </c>
      <c r="C19" s="2" t="s">
        <v>134</v>
      </c>
      <c r="D19" s="2" t="s">
        <v>31</v>
      </c>
      <c r="E19" s="2">
        <v>83.03</v>
      </c>
      <c r="F19" s="2" t="s">
        <v>135</v>
      </c>
      <c r="G19" s="2" t="s">
        <v>136</v>
      </c>
      <c r="H19" s="2" t="s">
        <v>137</v>
      </c>
      <c r="I19" s="2">
        <v>89.41</v>
      </c>
      <c r="J19" s="2">
        <v>89.43</v>
      </c>
      <c r="K19" s="2">
        <v>81.9</v>
      </c>
      <c r="L19" s="2">
        <v>81.53</v>
      </c>
      <c r="M19" s="2">
        <v>78.56</v>
      </c>
      <c r="N19" s="3" t="s">
        <v>138</v>
      </c>
      <c r="O19" s="2">
        <v>89.1</v>
      </c>
      <c r="P19" s="2">
        <v>93.75</v>
      </c>
      <c r="Q19" s="6">
        <v>75.75</v>
      </c>
      <c r="R19" s="6">
        <v>75.37</v>
      </c>
      <c r="S19" s="6">
        <v>79.4</v>
      </c>
      <c r="T19" s="6">
        <v>83.02</v>
      </c>
      <c r="U19" s="6">
        <v>86.37</v>
      </c>
      <c r="V19" s="6">
        <v>84.32</v>
      </c>
      <c r="W19" s="6">
        <v>75</v>
      </c>
      <c r="X19" s="6">
        <v>91.4</v>
      </c>
      <c r="Y19" s="3">
        <v>21.6</v>
      </c>
      <c r="Z19" s="6">
        <v>82.51</v>
      </c>
      <c r="AA19" s="6">
        <v>74.39</v>
      </c>
      <c r="AB19" s="6">
        <f t="shared" si="0"/>
        <v>1796.56</v>
      </c>
      <c r="AC19" s="6">
        <f t="shared" si="1"/>
        <v>898.28</v>
      </c>
      <c r="AD19" s="7">
        <f t="shared" si="2"/>
        <v>78.1113043478261</v>
      </c>
      <c r="AE19" s="6">
        <v>18</v>
      </c>
    </row>
    <row r="20" spans="1:31">
      <c r="A20" s="2">
        <v>43</v>
      </c>
      <c r="B20" s="2">
        <v>20221614842</v>
      </c>
      <c r="C20" s="2" t="s">
        <v>139</v>
      </c>
      <c r="D20" s="2" t="s">
        <v>31</v>
      </c>
      <c r="E20" s="2" t="s">
        <v>140</v>
      </c>
      <c r="F20" s="2" t="s">
        <v>130</v>
      </c>
      <c r="G20" s="2" t="s">
        <v>141</v>
      </c>
      <c r="H20" s="2" t="s">
        <v>68</v>
      </c>
      <c r="I20" s="2">
        <v>92.5</v>
      </c>
      <c r="J20" s="2">
        <v>75.88</v>
      </c>
      <c r="K20" s="2">
        <v>73.5</v>
      </c>
      <c r="L20" s="2">
        <v>79.96</v>
      </c>
      <c r="M20" s="2">
        <v>76.56</v>
      </c>
      <c r="N20" s="2" t="s">
        <v>142</v>
      </c>
      <c r="O20" s="2">
        <v>71.4</v>
      </c>
      <c r="P20" s="2">
        <v>100</v>
      </c>
      <c r="Q20" s="6">
        <v>75.17</v>
      </c>
      <c r="R20" s="6">
        <v>63.2</v>
      </c>
      <c r="S20" s="6">
        <v>81.26</v>
      </c>
      <c r="T20" s="6">
        <v>80.26</v>
      </c>
      <c r="U20" s="6">
        <v>73.4</v>
      </c>
      <c r="V20" s="6">
        <v>80.91</v>
      </c>
      <c r="W20" s="6">
        <v>77</v>
      </c>
      <c r="X20" s="6">
        <v>78.55</v>
      </c>
      <c r="Y20" s="6">
        <v>76.38</v>
      </c>
      <c r="Z20" s="6">
        <v>76.21</v>
      </c>
      <c r="AA20" s="6">
        <v>74.91</v>
      </c>
      <c r="AB20" s="6">
        <f t="shared" si="0"/>
        <v>1795.09</v>
      </c>
      <c r="AC20" s="6">
        <f t="shared" si="1"/>
        <v>897.545</v>
      </c>
      <c r="AD20" s="7">
        <f t="shared" si="2"/>
        <v>78.0473913043478</v>
      </c>
      <c r="AE20" s="6">
        <v>19</v>
      </c>
    </row>
    <row r="21" spans="1:31">
      <c r="A21" s="2">
        <v>42</v>
      </c>
      <c r="B21" s="2">
        <v>20221614841</v>
      </c>
      <c r="C21" s="2" t="s">
        <v>143</v>
      </c>
      <c r="D21" s="2" t="s">
        <v>31</v>
      </c>
      <c r="E21" s="2" t="s">
        <v>144</v>
      </c>
      <c r="F21" s="2" t="s">
        <v>145</v>
      </c>
      <c r="G21" s="2" t="s">
        <v>146</v>
      </c>
      <c r="H21" s="2" t="s">
        <v>147</v>
      </c>
      <c r="I21" s="2">
        <v>89.5</v>
      </c>
      <c r="J21" s="2">
        <v>80.83</v>
      </c>
      <c r="K21" s="2">
        <v>75.47</v>
      </c>
      <c r="L21" s="2">
        <v>79.06</v>
      </c>
      <c r="M21" s="2">
        <v>74.88</v>
      </c>
      <c r="N21" s="2" t="s">
        <v>148</v>
      </c>
      <c r="O21" s="2">
        <v>75</v>
      </c>
      <c r="P21" s="2">
        <v>93.75</v>
      </c>
      <c r="Q21" s="6">
        <v>71.54</v>
      </c>
      <c r="R21" s="6">
        <v>60.7</v>
      </c>
      <c r="S21" s="6">
        <v>83</v>
      </c>
      <c r="T21" s="6">
        <v>79.38</v>
      </c>
      <c r="U21" s="6">
        <v>81.92</v>
      </c>
      <c r="V21" s="6">
        <v>81.37</v>
      </c>
      <c r="W21" s="6">
        <v>77</v>
      </c>
      <c r="X21" s="6">
        <v>75.35</v>
      </c>
      <c r="Y21" s="6">
        <v>76.53</v>
      </c>
      <c r="Z21" s="6">
        <v>76.7</v>
      </c>
      <c r="AA21" s="6">
        <v>73.04</v>
      </c>
      <c r="AB21" s="6">
        <f t="shared" si="0"/>
        <v>1781.01</v>
      </c>
      <c r="AC21" s="6">
        <f t="shared" si="1"/>
        <v>890.505</v>
      </c>
      <c r="AD21" s="7">
        <f t="shared" si="2"/>
        <v>77.4352173913043</v>
      </c>
      <c r="AE21" s="6">
        <v>20</v>
      </c>
    </row>
    <row r="22" spans="1:31">
      <c r="A22" s="2">
        <v>40</v>
      </c>
      <c r="B22" s="2">
        <v>20221614838</v>
      </c>
      <c r="C22" s="2" t="s">
        <v>149</v>
      </c>
      <c r="D22" s="2" t="s">
        <v>31</v>
      </c>
      <c r="E22" s="2" t="s">
        <v>129</v>
      </c>
      <c r="F22" s="2" t="s">
        <v>150</v>
      </c>
      <c r="G22" s="2" t="s">
        <v>151</v>
      </c>
      <c r="H22" s="2" t="s">
        <v>152</v>
      </c>
      <c r="I22" s="2">
        <v>70</v>
      </c>
      <c r="J22" s="2">
        <v>73.85</v>
      </c>
      <c r="K22" s="4">
        <v>78.29</v>
      </c>
      <c r="L22" s="2">
        <v>78.33</v>
      </c>
      <c r="M22" s="2">
        <v>80.32</v>
      </c>
      <c r="N22" s="2" t="s">
        <v>153</v>
      </c>
      <c r="O22" s="2">
        <v>79.4</v>
      </c>
      <c r="P22" s="2">
        <v>93.75</v>
      </c>
      <c r="Q22" s="6">
        <v>69.67</v>
      </c>
      <c r="R22" s="6">
        <v>64.6</v>
      </c>
      <c r="S22" s="6">
        <v>80.4</v>
      </c>
      <c r="T22" s="6">
        <v>88.19</v>
      </c>
      <c r="U22" s="6">
        <v>76.82</v>
      </c>
      <c r="V22" s="6">
        <v>79.67</v>
      </c>
      <c r="W22" s="6">
        <v>77</v>
      </c>
      <c r="X22" s="6">
        <v>86.25</v>
      </c>
      <c r="Y22" s="6">
        <v>78.15</v>
      </c>
      <c r="Z22" s="6">
        <v>76.07</v>
      </c>
      <c r="AA22" s="6">
        <v>71.16</v>
      </c>
      <c r="AB22" s="6">
        <f t="shared" si="0"/>
        <v>1777.38</v>
      </c>
      <c r="AC22" s="6">
        <f t="shared" si="1"/>
        <v>888.69</v>
      </c>
      <c r="AD22" s="7">
        <f t="shared" si="2"/>
        <v>77.2773913043478</v>
      </c>
      <c r="AE22" s="6">
        <v>21</v>
      </c>
    </row>
    <row r="23" spans="1:31">
      <c r="A23" s="2">
        <v>31</v>
      </c>
      <c r="B23" s="2">
        <v>20221614802</v>
      </c>
      <c r="C23" s="2" t="s">
        <v>154</v>
      </c>
      <c r="D23" s="2" t="s">
        <v>31</v>
      </c>
      <c r="E23" s="2" t="s">
        <v>155</v>
      </c>
      <c r="F23" s="2" t="s">
        <v>156</v>
      </c>
      <c r="G23" s="2" t="s">
        <v>157</v>
      </c>
      <c r="H23" s="2" t="s">
        <v>158</v>
      </c>
      <c r="I23" s="2">
        <v>83.3</v>
      </c>
      <c r="J23" s="2">
        <v>80.1</v>
      </c>
      <c r="K23" s="2">
        <v>88.39</v>
      </c>
      <c r="L23" s="2">
        <v>82.44</v>
      </c>
      <c r="M23" s="2">
        <v>81.61</v>
      </c>
      <c r="N23" s="2" t="s">
        <v>159</v>
      </c>
      <c r="O23" s="2">
        <v>77.6</v>
      </c>
      <c r="P23" s="2">
        <v>96.25</v>
      </c>
      <c r="Q23" s="6">
        <v>66.34</v>
      </c>
      <c r="R23" s="6">
        <v>62.9</v>
      </c>
      <c r="S23" s="6">
        <v>85.14</v>
      </c>
      <c r="T23" s="6">
        <v>78.97</v>
      </c>
      <c r="U23" s="6">
        <v>94</v>
      </c>
      <c r="V23" s="6">
        <v>81.61</v>
      </c>
      <c r="W23" s="6">
        <v>70</v>
      </c>
      <c r="X23" s="6">
        <v>86.25</v>
      </c>
      <c r="Y23" s="3">
        <v>20.4</v>
      </c>
      <c r="Z23" s="6">
        <v>76.06</v>
      </c>
      <c r="AA23" s="6">
        <v>74.52</v>
      </c>
      <c r="AB23" s="6">
        <f t="shared" si="0"/>
        <v>1774.5</v>
      </c>
      <c r="AC23" s="6">
        <f t="shared" si="1"/>
        <v>887.25</v>
      </c>
      <c r="AD23" s="7">
        <f t="shared" si="2"/>
        <v>77.1521739130435</v>
      </c>
      <c r="AE23" s="6">
        <v>22</v>
      </c>
    </row>
    <row r="24" spans="1:31">
      <c r="A24" s="2">
        <v>2</v>
      </c>
      <c r="B24" s="2">
        <v>20221613840</v>
      </c>
      <c r="C24" s="2" t="s">
        <v>160</v>
      </c>
      <c r="D24" s="2" t="s">
        <v>31</v>
      </c>
      <c r="E24" s="2" t="s">
        <v>161</v>
      </c>
      <c r="F24" s="2" t="s">
        <v>162</v>
      </c>
      <c r="G24" s="2" t="s">
        <v>163</v>
      </c>
      <c r="H24" s="2" t="s">
        <v>164</v>
      </c>
      <c r="I24" s="2">
        <v>73</v>
      </c>
      <c r="J24" s="2">
        <v>79.03</v>
      </c>
      <c r="K24" s="2">
        <v>73.38</v>
      </c>
      <c r="L24" s="2">
        <v>82.22</v>
      </c>
      <c r="M24" s="2">
        <v>75.01</v>
      </c>
      <c r="N24" s="2" t="s">
        <v>165</v>
      </c>
      <c r="O24" s="2">
        <v>76.7</v>
      </c>
      <c r="P24" s="2">
        <v>93.75</v>
      </c>
      <c r="Q24" s="6">
        <v>68.71</v>
      </c>
      <c r="R24" s="6">
        <v>69.5</v>
      </c>
      <c r="S24" s="6">
        <v>86</v>
      </c>
      <c r="T24" s="6">
        <v>79.08</v>
      </c>
      <c r="U24" s="6">
        <v>85.8</v>
      </c>
      <c r="V24" s="6">
        <v>80.09</v>
      </c>
      <c r="W24" s="6">
        <v>77.5</v>
      </c>
      <c r="X24" s="6">
        <v>75.25</v>
      </c>
      <c r="Y24" s="6">
        <v>68.08</v>
      </c>
      <c r="Z24" s="6">
        <v>76.33</v>
      </c>
      <c r="AA24" s="6">
        <v>71.74</v>
      </c>
      <c r="AB24" s="6">
        <f t="shared" si="0"/>
        <v>1774.41</v>
      </c>
      <c r="AC24" s="6">
        <f t="shared" si="1"/>
        <v>887.205</v>
      </c>
      <c r="AD24" s="7">
        <f t="shared" si="2"/>
        <v>77.1482608695652</v>
      </c>
      <c r="AE24" s="6">
        <v>23</v>
      </c>
    </row>
    <row r="25" spans="1:31">
      <c r="A25" s="2">
        <v>11</v>
      </c>
      <c r="B25" s="2">
        <v>20221614628</v>
      </c>
      <c r="C25" s="2" t="s">
        <v>166</v>
      </c>
      <c r="D25" s="2" t="s">
        <v>31</v>
      </c>
      <c r="E25" s="2" t="s">
        <v>167</v>
      </c>
      <c r="F25" s="2" t="s">
        <v>168</v>
      </c>
      <c r="G25" s="2" t="s">
        <v>169</v>
      </c>
      <c r="H25" s="2" t="s">
        <v>170</v>
      </c>
      <c r="I25" s="2">
        <v>86.86</v>
      </c>
      <c r="J25" s="2">
        <v>78.88</v>
      </c>
      <c r="K25" s="2">
        <v>75.12</v>
      </c>
      <c r="L25" s="2">
        <v>81.08</v>
      </c>
      <c r="M25" s="2">
        <v>79.86</v>
      </c>
      <c r="N25" s="3" t="s">
        <v>171</v>
      </c>
      <c r="O25" s="2">
        <v>72.2</v>
      </c>
      <c r="P25" s="2">
        <v>88</v>
      </c>
      <c r="Q25" s="6">
        <v>74.11</v>
      </c>
      <c r="R25" s="6">
        <v>78.6</v>
      </c>
      <c r="S25" s="6">
        <v>80.75</v>
      </c>
      <c r="T25" s="6">
        <v>79.34</v>
      </c>
      <c r="U25" s="6">
        <v>73.4</v>
      </c>
      <c r="V25" s="6">
        <v>82.71</v>
      </c>
      <c r="W25" s="6">
        <v>76.5</v>
      </c>
      <c r="X25" s="6">
        <v>76.3</v>
      </c>
      <c r="Y25" s="6">
        <v>72.93</v>
      </c>
      <c r="Z25" s="6">
        <v>71.67</v>
      </c>
      <c r="AA25" s="6">
        <v>67.03</v>
      </c>
      <c r="AB25" s="6">
        <f t="shared" si="0"/>
        <v>1736.83</v>
      </c>
      <c r="AC25" s="6">
        <f t="shared" si="1"/>
        <v>868.415</v>
      </c>
      <c r="AD25" s="7">
        <f t="shared" si="2"/>
        <v>75.514347826087</v>
      </c>
      <c r="AE25" s="6">
        <v>24</v>
      </c>
    </row>
    <row r="26" spans="1:31">
      <c r="A26" s="2">
        <v>26</v>
      </c>
      <c r="B26" s="2">
        <v>20221614745</v>
      </c>
      <c r="C26" s="2" t="s">
        <v>172</v>
      </c>
      <c r="D26" s="2" t="s">
        <v>31</v>
      </c>
      <c r="E26" s="2" t="s">
        <v>173</v>
      </c>
      <c r="F26" s="2" t="s">
        <v>174</v>
      </c>
      <c r="G26" s="2" t="s">
        <v>175</v>
      </c>
      <c r="H26" s="2" t="s">
        <v>176</v>
      </c>
      <c r="I26" s="2">
        <v>80.8</v>
      </c>
      <c r="J26" s="2">
        <v>78.68</v>
      </c>
      <c r="K26" s="2">
        <v>75.2</v>
      </c>
      <c r="L26" s="2">
        <v>77.97</v>
      </c>
      <c r="M26" s="2">
        <v>77.32</v>
      </c>
      <c r="N26" s="2" t="s">
        <v>177</v>
      </c>
      <c r="O26" s="2">
        <v>72.2</v>
      </c>
      <c r="P26" s="2">
        <v>96.25</v>
      </c>
      <c r="Q26" s="6">
        <v>70.13</v>
      </c>
      <c r="R26" s="6">
        <v>73.96</v>
      </c>
      <c r="S26" s="6">
        <v>69.55</v>
      </c>
      <c r="T26" s="6">
        <v>73.33</v>
      </c>
      <c r="U26" s="6">
        <v>74.5</v>
      </c>
      <c r="V26" s="6">
        <v>77.75</v>
      </c>
      <c r="W26" s="6">
        <v>79</v>
      </c>
      <c r="X26" s="6">
        <v>73</v>
      </c>
      <c r="Y26" s="6">
        <v>74.73</v>
      </c>
      <c r="Z26" s="6">
        <v>75.7</v>
      </c>
      <c r="AA26" s="6">
        <v>65.03</v>
      </c>
      <c r="AB26" s="6">
        <f t="shared" si="0"/>
        <v>1729.13</v>
      </c>
      <c r="AC26" s="6">
        <f t="shared" si="1"/>
        <v>864.565</v>
      </c>
      <c r="AD26" s="7">
        <f t="shared" si="2"/>
        <v>75.1795652173913</v>
      </c>
      <c r="AE26" s="6">
        <v>25</v>
      </c>
    </row>
    <row r="27" spans="1:31">
      <c r="A27" s="2">
        <v>7</v>
      </c>
      <c r="B27" s="2">
        <v>20221614609</v>
      </c>
      <c r="C27" s="2" t="s">
        <v>178</v>
      </c>
      <c r="D27" s="2" t="s">
        <v>31</v>
      </c>
      <c r="E27" s="2" t="s">
        <v>179</v>
      </c>
      <c r="F27" s="2" t="s">
        <v>141</v>
      </c>
      <c r="G27" s="2" t="s">
        <v>180</v>
      </c>
      <c r="H27" s="2" t="s">
        <v>181</v>
      </c>
      <c r="I27" s="2">
        <v>74.2</v>
      </c>
      <c r="J27" s="2">
        <v>83.6</v>
      </c>
      <c r="K27" s="2">
        <v>77.76</v>
      </c>
      <c r="L27" s="2">
        <v>80.46</v>
      </c>
      <c r="M27" s="2">
        <v>75.24</v>
      </c>
      <c r="N27" s="2" t="s">
        <v>182</v>
      </c>
      <c r="O27" s="2">
        <v>82.6</v>
      </c>
      <c r="P27" s="2">
        <v>96.25</v>
      </c>
      <c r="Q27" s="6">
        <v>73.64</v>
      </c>
      <c r="R27" s="6">
        <v>79.19</v>
      </c>
      <c r="S27" s="6">
        <v>73.9</v>
      </c>
      <c r="T27" s="6">
        <v>76.97</v>
      </c>
      <c r="U27" s="6">
        <v>88.22</v>
      </c>
      <c r="V27" s="6">
        <v>76.79</v>
      </c>
      <c r="W27" s="6">
        <v>73</v>
      </c>
      <c r="X27" s="6">
        <v>73.85</v>
      </c>
      <c r="Y27" s="3">
        <v>15.6</v>
      </c>
      <c r="Z27" s="6">
        <v>88.12</v>
      </c>
      <c r="AA27" s="3">
        <v>21.6</v>
      </c>
      <c r="AB27" s="6">
        <f t="shared" si="0"/>
        <v>1704.96</v>
      </c>
      <c r="AC27" s="6">
        <f t="shared" si="1"/>
        <v>852.48</v>
      </c>
      <c r="AD27" s="7">
        <f t="shared" si="2"/>
        <v>74.1286956521739</v>
      </c>
      <c r="AE27" s="6">
        <v>26</v>
      </c>
    </row>
    <row r="28" spans="1:31">
      <c r="A28" s="2">
        <v>25</v>
      </c>
      <c r="B28" s="2">
        <v>20221614744</v>
      </c>
      <c r="C28" s="2" t="s">
        <v>183</v>
      </c>
      <c r="D28" s="2" t="s">
        <v>31</v>
      </c>
      <c r="E28" s="2" t="s">
        <v>184</v>
      </c>
      <c r="F28" s="2" t="s">
        <v>185</v>
      </c>
      <c r="G28" s="2" t="s">
        <v>186</v>
      </c>
      <c r="H28" s="2" t="s">
        <v>187</v>
      </c>
      <c r="I28" s="2">
        <v>80.3</v>
      </c>
      <c r="J28" s="2">
        <v>79.53</v>
      </c>
      <c r="K28" s="2">
        <v>71.33</v>
      </c>
      <c r="L28" s="2">
        <v>81.02</v>
      </c>
      <c r="M28" s="2">
        <v>81</v>
      </c>
      <c r="N28" s="2" t="s">
        <v>188</v>
      </c>
      <c r="O28" s="2">
        <v>74</v>
      </c>
      <c r="P28" s="2">
        <v>96.25</v>
      </c>
      <c r="Q28" s="6">
        <v>70.59</v>
      </c>
      <c r="R28" s="6">
        <v>69.23</v>
      </c>
      <c r="S28" s="6">
        <v>72.45</v>
      </c>
      <c r="T28" s="6">
        <v>80.9</v>
      </c>
      <c r="U28" s="6">
        <v>80.4</v>
      </c>
      <c r="V28" s="6">
        <v>75.2</v>
      </c>
      <c r="W28" s="6">
        <v>80.5</v>
      </c>
      <c r="X28" s="6">
        <v>74</v>
      </c>
      <c r="Y28" s="6">
        <v>69.63</v>
      </c>
      <c r="Z28" s="6">
        <v>75.53</v>
      </c>
      <c r="AA28" s="3">
        <v>13.6</v>
      </c>
      <c r="AB28" s="6">
        <f t="shared" si="0"/>
        <v>1699.56</v>
      </c>
      <c r="AC28" s="6">
        <f t="shared" si="1"/>
        <v>849.78</v>
      </c>
      <c r="AD28" s="7">
        <f t="shared" si="2"/>
        <v>73.8939130434783</v>
      </c>
      <c r="AE28" s="6">
        <v>27</v>
      </c>
    </row>
    <row r="29" spans="1:31">
      <c r="A29" s="2">
        <v>10</v>
      </c>
      <c r="B29" s="2">
        <v>20221614627</v>
      </c>
      <c r="C29" s="2" t="s">
        <v>189</v>
      </c>
      <c r="D29" s="2" t="s">
        <v>31</v>
      </c>
      <c r="E29" s="2" t="s">
        <v>190</v>
      </c>
      <c r="F29" s="2" t="s">
        <v>145</v>
      </c>
      <c r="G29" s="2" t="s">
        <v>191</v>
      </c>
      <c r="H29" s="2" t="s">
        <v>192</v>
      </c>
      <c r="I29" s="2">
        <v>90.4</v>
      </c>
      <c r="J29" s="3">
        <v>18</v>
      </c>
      <c r="K29" s="4">
        <v>75.38</v>
      </c>
      <c r="L29" s="4">
        <v>68.44</v>
      </c>
      <c r="M29" s="2">
        <v>75.81</v>
      </c>
      <c r="N29" s="2" t="s">
        <v>193</v>
      </c>
      <c r="O29" s="2">
        <v>70.4</v>
      </c>
      <c r="P29" s="2">
        <v>96.25</v>
      </c>
      <c r="Q29" s="6">
        <v>71.22</v>
      </c>
      <c r="R29" s="6">
        <v>79.32</v>
      </c>
      <c r="S29" s="6">
        <v>87.57</v>
      </c>
      <c r="T29" s="6">
        <v>80.2</v>
      </c>
      <c r="U29" s="6">
        <v>71.4</v>
      </c>
      <c r="V29" s="6">
        <v>69.27</v>
      </c>
      <c r="W29" s="6">
        <v>72</v>
      </c>
      <c r="X29" s="6">
        <v>72.3</v>
      </c>
      <c r="Y29" s="6">
        <v>68.39</v>
      </c>
      <c r="Z29" s="6">
        <v>76.78</v>
      </c>
      <c r="AA29" s="6">
        <v>68.99</v>
      </c>
      <c r="AB29" s="6">
        <f t="shared" si="0"/>
        <v>1676.23</v>
      </c>
      <c r="AC29" s="6">
        <f t="shared" si="1"/>
        <v>838.115</v>
      </c>
      <c r="AD29" s="7">
        <f t="shared" si="2"/>
        <v>72.8795652173913</v>
      </c>
      <c r="AE29" s="6">
        <v>28</v>
      </c>
    </row>
    <row r="30" spans="1:31">
      <c r="A30" s="2">
        <v>37</v>
      </c>
      <c r="B30" s="2">
        <v>20221614831</v>
      </c>
      <c r="C30" s="2" t="s">
        <v>194</v>
      </c>
      <c r="D30" s="2" t="s">
        <v>31</v>
      </c>
      <c r="E30" s="2" t="s">
        <v>86</v>
      </c>
      <c r="F30" s="2" t="s">
        <v>195</v>
      </c>
      <c r="G30" s="2" t="s">
        <v>196</v>
      </c>
      <c r="H30" s="2" t="s">
        <v>197</v>
      </c>
      <c r="I30" s="2">
        <v>77.2</v>
      </c>
      <c r="J30" s="4">
        <v>81.91</v>
      </c>
      <c r="K30" s="4">
        <v>86.4</v>
      </c>
      <c r="L30" s="2">
        <v>84.07</v>
      </c>
      <c r="M30" s="2">
        <v>75.62</v>
      </c>
      <c r="N30" s="2" t="s">
        <v>108</v>
      </c>
      <c r="O30" s="2">
        <v>80.4</v>
      </c>
      <c r="P30" s="2">
        <v>96.25</v>
      </c>
      <c r="Q30" s="6">
        <v>87.76</v>
      </c>
      <c r="R30" s="6">
        <v>70.3</v>
      </c>
      <c r="S30" s="6">
        <v>80.65</v>
      </c>
      <c r="T30" s="6">
        <v>74.93</v>
      </c>
      <c r="U30" s="6">
        <v>78.8</v>
      </c>
      <c r="V30" s="3">
        <v>25.4</v>
      </c>
      <c r="W30" s="6">
        <v>75</v>
      </c>
      <c r="X30" s="6">
        <v>73</v>
      </c>
      <c r="Y30" s="6">
        <v>77.54</v>
      </c>
      <c r="Z30" s="3">
        <v>21.2</v>
      </c>
      <c r="AA30" s="3">
        <v>13.2</v>
      </c>
      <c r="AB30" s="6">
        <f t="shared" si="0"/>
        <v>1667.63</v>
      </c>
      <c r="AC30" s="6">
        <f t="shared" si="1"/>
        <v>833.815</v>
      </c>
      <c r="AD30" s="7">
        <f t="shared" si="2"/>
        <v>72.505652173913</v>
      </c>
      <c r="AE30" s="6">
        <v>29</v>
      </c>
    </row>
    <row r="31" spans="1:31">
      <c r="A31" s="2">
        <v>44</v>
      </c>
      <c r="B31" s="2">
        <v>20221614843</v>
      </c>
      <c r="C31" s="2" t="s">
        <v>198</v>
      </c>
      <c r="D31" s="2" t="s">
        <v>31</v>
      </c>
      <c r="E31" s="2" t="s">
        <v>199</v>
      </c>
      <c r="F31" s="2" t="s">
        <v>200</v>
      </c>
      <c r="G31" s="2" t="s">
        <v>201</v>
      </c>
      <c r="H31" s="2" t="s">
        <v>202</v>
      </c>
      <c r="I31" s="2">
        <v>88.3</v>
      </c>
      <c r="J31" s="2">
        <v>74.07</v>
      </c>
      <c r="K31" s="2">
        <v>73.69</v>
      </c>
      <c r="L31" s="2">
        <v>74.53</v>
      </c>
      <c r="M31" s="2">
        <v>74.3</v>
      </c>
      <c r="N31" s="3" t="s">
        <v>203</v>
      </c>
      <c r="O31" s="2">
        <v>71.75</v>
      </c>
      <c r="P31" s="2">
        <v>93.75</v>
      </c>
      <c r="Q31" s="6">
        <v>66.69</v>
      </c>
      <c r="R31" s="6">
        <v>63.39</v>
      </c>
      <c r="S31" s="6">
        <v>86</v>
      </c>
      <c r="T31" s="6">
        <v>72.9</v>
      </c>
      <c r="U31" s="6">
        <v>78.9</v>
      </c>
      <c r="V31" s="6">
        <v>76.38</v>
      </c>
      <c r="W31" s="6">
        <v>73.5</v>
      </c>
      <c r="X31" s="6">
        <v>73</v>
      </c>
      <c r="Y31" s="6">
        <v>70.03</v>
      </c>
      <c r="Z31" s="6">
        <v>77.57</v>
      </c>
      <c r="AA31" s="6">
        <v>70.31</v>
      </c>
      <c r="AB31" s="6">
        <f t="shared" si="0"/>
        <v>1662.56</v>
      </c>
      <c r="AC31" s="6">
        <f t="shared" si="1"/>
        <v>831.28</v>
      </c>
      <c r="AD31" s="7">
        <f t="shared" si="2"/>
        <v>72.2852173913043</v>
      </c>
      <c r="AE31" s="6">
        <v>30</v>
      </c>
    </row>
    <row r="32" spans="1:31">
      <c r="A32" s="2">
        <v>39</v>
      </c>
      <c r="B32" s="2">
        <v>20221614833</v>
      </c>
      <c r="C32" s="2" t="s">
        <v>204</v>
      </c>
      <c r="D32" s="2" t="s">
        <v>31</v>
      </c>
      <c r="E32" s="2" t="s">
        <v>205</v>
      </c>
      <c r="F32" s="2" t="s">
        <v>86</v>
      </c>
      <c r="G32" s="2" t="s">
        <v>206</v>
      </c>
      <c r="H32" s="2" t="s">
        <v>207</v>
      </c>
      <c r="I32" s="2">
        <v>79</v>
      </c>
      <c r="J32" s="2">
        <v>72.9</v>
      </c>
      <c r="K32" s="2">
        <v>75.49</v>
      </c>
      <c r="L32" s="2">
        <v>75.73</v>
      </c>
      <c r="M32" s="2">
        <v>73.92</v>
      </c>
      <c r="N32" s="2" t="s">
        <v>208</v>
      </c>
      <c r="O32" s="2">
        <v>77.8</v>
      </c>
      <c r="P32" s="2">
        <v>96.25</v>
      </c>
      <c r="Q32" s="6">
        <v>72.71</v>
      </c>
      <c r="R32" s="6">
        <v>72.67</v>
      </c>
      <c r="S32" s="6">
        <v>84.5</v>
      </c>
      <c r="T32" s="6">
        <v>81.64</v>
      </c>
      <c r="U32" s="6">
        <v>77.52</v>
      </c>
      <c r="V32" s="6">
        <v>73.38</v>
      </c>
      <c r="W32" s="6">
        <v>60.5</v>
      </c>
      <c r="X32" s="6">
        <v>86.75</v>
      </c>
      <c r="Y32" s="6">
        <v>20.8</v>
      </c>
      <c r="Z32" s="6">
        <v>74.7</v>
      </c>
      <c r="AA32" s="3">
        <v>13.6</v>
      </c>
      <c r="AB32" s="6">
        <f t="shared" si="0"/>
        <v>1649.75</v>
      </c>
      <c r="AC32" s="6">
        <f t="shared" si="1"/>
        <v>824.875</v>
      </c>
      <c r="AD32" s="7">
        <f t="shared" si="2"/>
        <v>71.7282608695652</v>
      </c>
      <c r="AE32" s="6">
        <v>31</v>
      </c>
    </row>
    <row r="33" spans="1:31">
      <c r="A33" s="2">
        <v>41</v>
      </c>
      <c r="B33" s="2">
        <v>20221614840</v>
      </c>
      <c r="C33" s="2" t="s">
        <v>209</v>
      </c>
      <c r="D33" s="2" t="s">
        <v>31</v>
      </c>
      <c r="E33" s="2" t="s">
        <v>210</v>
      </c>
      <c r="F33" s="2" t="s">
        <v>211</v>
      </c>
      <c r="G33" s="2" t="s">
        <v>212</v>
      </c>
      <c r="H33" s="2" t="s">
        <v>213</v>
      </c>
      <c r="I33" s="2">
        <v>90.4</v>
      </c>
      <c r="J33" s="2">
        <v>76.58</v>
      </c>
      <c r="K33" s="2">
        <v>71.9</v>
      </c>
      <c r="L33" s="2">
        <v>80.09</v>
      </c>
      <c r="M33" s="2">
        <v>70.14</v>
      </c>
      <c r="N33" s="2" t="s">
        <v>214</v>
      </c>
      <c r="O33" s="2">
        <v>73.2</v>
      </c>
      <c r="P33" s="2">
        <v>93.75</v>
      </c>
      <c r="Q33" s="6">
        <v>76.72</v>
      </c>
      <c r="R33" s="6">
        <v>69.74</v>
      </c>
      <c r="S33" s="6">
        <v>90.55</v>
      </c>
      <c r="T33" s="6">
        <v>77.7</v>
      </c>
      <c r="U33" s="6">
        <v>71.85</v>
      </c>
      <c r="V33" s="3">
        <v>26.6</v>
      </c>
      <c r="W33" s="6">
        <v>79.5</v>
      </c>
      <c r="X33" s="6">
        <v>69.15</v>
      </c>
      <c r="Y33" s="6">
        <v>67.5</v>
      </c>
      <c r="Z33" s="6">
        <v>71.8</v>
      </c>
      <c r="AA33" s="3">
        <v>14.8</v>
      </c>
      <c r="AB33" s="6">
        <f t="shared" si="0"/>
        <v>1631.18</v>
      </c>
      <c r="AC33" s="6">
        <f t="shared" si="1"/>
        <v>815.59</v>
      </c>
      <c r="AD33" s="7">
        <f t="shared" si="2"/>
        <v>70.9208695652174</v>
      </c>
      <c r="AE33" s="6">
        <v>32</v>
      </c>
    </row>
    <row r="34" spans="1:31">
      <c r="A34" s="2">
        <v>27</v>
      </c>
      <c r="B34" s="2">
        <v>20221614746</v>
      </c>
      <c r="C34" s="2" t="s">
        <v>215</v>
      </c>
      <c r="D34" s="2" t="s">
        <v>31</v>
      </c>
      <c r="E34" s="2" t="s">
        <v>216</v>
      </c>
      <c r="F34" s="2" t="s">
        <v>217</v>
      </c>
      <c r="G34" s="2" t="s">
        <v>218</v>
      </c>
      <c r="H34" s="2" t="s">
        <v>219</v>
      </c>
      <c r="I34" s="2">
        <v>78.4</v>
      </c>
      <c r="J34" s="2">
        <v>78</v>
      </c>
      <c r="K34" s="3">
        <v>22</v>
      </c>
      <c r="L34" s="2">
        <v>82.4</v>
      </c>
      <c r="M34" s="2">
        <v>78.32</v>
      </c>
      <c r="N34" s="3" t="s">
        <v>220</v>
      </c>
      <c r="O34" s="2">
        <v>74.9</v>
      </c>
      <c r="P34" s="2">
        <v>96.25</v>
      </c>
      <c r="Q34" s="6">
        <v>75.26</v>
      </c>
      <c r="R34" s="6">
        <v>67.99</v>
      </c>
      <c r="S34" s="6">
        <v>79.09</v>
      </c>
      <c r="T34" s="3">
        <v>17.6</v>
      </c>
      <c r="U34" s="6">
        <v>76.9</v>
      </c>
      <c r="V34" s="6">
        <v>83.6</v>
      </c>
      <c r="W34" s="6">
        <v>80.5</v>
      </c>
      <c r="X34" s="6">
        <v>72.95</v>
      </c>
      <c r="Y34" s="6">
        <v>71</v>
      </c>
      <c r="Z34" s="6">
        <v>76.74</v>
      </c>
      <c r="AA34" s="6">
        <v>74.4</v>
      </c>
      <c r="AB34" s="6">
        <f t="shared" si="0"/>
        <v>1626.81</v>
      </c>
      <c r="AC34" s="6">
        <f t="shared" si="1"/>
        <v>813.405</v>
      </c>
      <c r="AD34" s="7">
        <f t="shared" si="2"/>
        <v>70.7308695652174</v>
      </c>
      <c r="AE34" s="6">
        <v>33</v>
      </c>
    </row>
    <row r="35" spans="1:31">
      <c r="A35" s="2">
        <v>23</v>
      </c>
      <c r="B35" s="2">
        <v>20221614742</v>
      </c>
      <c r="C35" s="2" t="s">
        <v>221</v>
      </c>
      <c r="D35" s="2" t="s">
        <v>31</v>
      </c>
      <c r="E35" s="2" t="s">
        <v>222</v>
      </c>
      <c r="F35" s="2" t="s">
        <v>145</v>
      </c>
      <c r="G35" s="2" t="s">
        <v>223</v>
      </c>
      <c r="H35" s="2" t="s">
        <v>224</v>
      </c>
      <c r="I35" s="2">
        <v>90.1</v>
      </c>
      <c r="J35" s="2">
        <v>79.23</v>
      </c>
      <c r="K35" s="4">
        <v>72.63</v>
      </c>
      <c r="L35" s="2">
        <v>73.89</v>
      </c>
      <c r="M35" s="2">
        <v>69</v>
      </c>
      <c r="N35" s="3" t="s">
        <v>225</v>
      </c>
      <c r="O35" s="2">
        <v>71.4</v>
      </c>
      <c r="P35" s="2">
        <v>99</v>
      </c>
      <c r="Q35" s="6">
        <v>60.66</v>
      </c>
      <c r="R35" s="6">
        <v>78.66</v>
      </c>
      <c r="S35" s="6">
        <v>86.92</v>
      </c>
      <c r="T35" s="6">
        <v>75.88</v>
      </c>
      <c r="U35" s="6">
        <v>73.4</v>
      </c>
      <c r="V35" s="3">
        <v>26.4</v>
      </c>
      <c r="W35" s="6">
        <v>69</v>
      </c>
      <c r="X35" s="6">
        <v>76.85</v>
      </c>
      <c r="Y35" s="3">
        <v>18.8</v>
      </c>
      <c r="Z35" s="6">
        <v>71.04</v>
      </c>
      <c r="AA35" s="6">
        <v>69.4</v>
      </c>
      <c r="AB35" s="6">
        <f t="shared" si="0"/>
        <v>1583.38</v>
      </c>
      <c r="AC35" s="6">
        <f t="shared" si="1"/>
        <v>791.69</v>
      </c>
      <c r="AD35" s="7">
        <f t="shared" si="2"/>
        <v>68.8426086956522</v>
      </c>
      <c r="AE35" s="6">
        <v>34</v>
      </c>
    </row>
    <row r="36" spans="1:31">
      <c r="A36" s="2">
        <v>21</v>
      </c>
      <c r="B36" s="2">
        <v>20221614734</v>
      </c>
      <c r="C36" s="2" t="s">
        <v>226</v>
      </c>
      <c r="D36" s="2" t="s">
        <v>31</v>
      </c>
      <c r="E36" s="2" t="s">
        <v>227</v>
      </c>
      <c r="F36" s="2" t="s">
        <v>228</v>
      </c>
      <c r="G36" s="2" t="s">
        <v>229</v>
      </c>
      <c r="H36" s="2" t="s">
        <v>230</v>
      </c>
      <c r="I36" s="2">
        <v>81.3</v>
      </c>
      <c r="J36" s="2">
        <v>78.83</v>
      </c>
      <c r="K36" s="4">
        <v>71</v>
      </c>
      <c r="L36" s="3">
        <v>26.3</v>
      </c>
      <c r="M36" s="2">
        <v>79.48</v>
      </c>
      <c r="N36" s="2" t="s">
        <v>231</v>
      </c>
      <c r="O36" s="2">
        <v>73.1</v>
      </c>
      <c r="P36" s="2">
        <v>99</v>
      </c>
      <c r="Q36" s="6">
        <v>72.83</v>
      </c>
      <c r="R36" s="6">
        <v>76.1</v>
      </c>
      <c r="S36" s="6">
        <v>78.64</v>
      </c>
      <c r="T36" s="6">
        <v>76</v>
      </c>
      <c r="U36" s="6">
        <v>81.25</v>
      </c>
      <c r="V36" s="3">
        <v>23.8</v>
      </c>
      <c r="W36" s="6">
        <v>79</v>
      </c>
      <c r="X36" s="6">
        <v>68.9</v>
      </c>
      <c r="Y36" s="3">
        <v>20.4</v>
      </c>
      <c r="Z36" s="6">
        <v>75.04</v>
      </c>
      <c r="AA36" s="3">
        <v>14</v>
      </c>
      <c r="AB36" s="6">
        <f t="shared" si="0"/>
        <v>1567.46</v>
      </c>
      <c r="AC36" s="6">
        <f t="shared" si="1"/>
        <v>783.73</v>
      </c>
      <c r="AD36" s="7">
        <f t="shared" si="2"/>
        <v>68.1504347826087</v>
      </c>
      <c r="AE36" s="6">
        <v>35</v>
      </c>
    </row>
    <row r="37" spans="1:31">
      <c r="A37" s="2">
        <v>12</v>
      </c>
      <c r="B37" s="2">
        <v>20221614638</v>
      </c>
      <c r="C37" s="2" t="s">
        <v>232</v>
      </c>
      <c r="D37" s="2" t="s">
        <v>31</v>
      </c>
      <c r="E37" s="2" t="s">
        <v>233</v>
      </c>
      <c r="F37" s="2" t="s">
        <v>99</v>
      </c>
      <c r="G37" s="2" t="s">
        <v>234</v>
      </c>
      <c r="H37" s="2" t="s">
        <v>235</v>
      </c>
      <c r="I37" s="2">
        <v>70.9</v>
      </c>
      <c r="J37" s="3">
        <v>21.5</v>
      </c>
      <c r="K37" s="4">
        <v>75.52</v>
      </c>
      <c r="L37" s="4">
        <v>68.1</v>
      </c>
      <c r="M37" s="2">
        <v>66.87</v>
      </c>
      <c r="N37" s="2" t="s">
        <v>236</v>
      </c>
      <c r="O37" s="2">
        <v>76.9</v>
      </c>
      <c r="P37" s="2">
        <v>96.25</v>
      </c>
      <c r="Q37" s="6">
        <v>65.61</v>
      </c>
      <c r="R37" s="6">
        <v>75.66</v>
      </c>
      <c r="S37" s="6">
        <v>87.9</v>
      </c>
      <c r="T37" s="6">
        <v>76.55</v>
      </c>
      <c r="U37" s="6">
        <v>73.55</v>
      </c>
      <c r="V37" s="6">
        <v>71.77</v>
      </c>
      <c r="W37" s="6">
        <v>71.5</v>
      </c>
      <c r="X37" s="6">
        <v>73</v>
      </c>
      <c r="Y37" s="3">
        <v>15.2</v>
      </c>
      <c r="Z37" s="6">
        <v>76.1</v>
      </c>
      <c r="AA37" s="3">
        <v>16.8</v>
      </c>
      <c r="AB37" s="6">
        <f t="shared" si="0"/>
        <v>1526.77</v>
      </c>
      <c r="AC37" s="6">
        <f t="shared" si="1"/>
        <v>763.385</v>
      </c>
      <c r="AD37" s="7">
        <f t="shared" si="2"/>
        <v>66.3813043478261</v>
      </c>
      <c r="AE37" s="6">
        <v>36</v>
      </c>
    </row>
    <row r="38" spans="1:31">
      <c r="A38" s="2">
        <v>29</v>
      </c>
      <c r="B38" s="2">
        <v>20221614749</v>
      </c>
      <c r="C38" s="2" t="s">
        <v>237</v>
      </c>
      <c r="D38" s="2" t="s">
        <v>31</v>
      </c>
      <c r="E38" s="2" t="s">
        <v>238</v>
      </c>
      <c r="F38" s="2" t="s">
        <v>239</v>
      </c>
      <c r="G38" s="2" t="s">
        <v>240</v>
      </c>
      <c r="H38" s="2" t="s">
        <v>241</v>
      </c>
      <c r="I38" s="2">
        <v>83.8</v>
      </c>
      <c r="J38" s="3">
        <v>25.5</v>
      </c>
      <c r="K38" s="4">
        <v>72.84</v>
      </c>
      <c r="L38" s="3">
        <v>21.7</v>
      </c>
      <c r="M38" s="2">
        <v>76.21</v>
      </c>
      <c r="N38" s="2" t="s">
        <v>242</v>
      </c>
      <c r="O38" s="2">
        <v>74</v>
      </c>
      <c r="P38" s="2">
        <v>96.25</v>
      </c>
      <c r="Q38" s="6">
        <v>67.19</v>
      </c>
      <c r="R38" s="6">
        <v>63.91</v>
      </c>
      <c r="S38" s="6">
        <v>77.3</v>
      </c>
      <c r="T38" s="6">
        <v>76.22</v>
      </c>
      <c r="U38" s="6">
        <v>68</v>
      </c>
      <c r="V38" s="3">
        <v>19.7</v>
      </c>
      <c r="W38" s="6">
        <v>79.5</v>
      </c>
      <c r="X38" s="6">
        <v>81.2</v>
      </c>
      <c r="Y38" s="6">
        <v>70.2</v>
      </c>
      <c r="Z38" s="6">
        <v>78.05</v>
      </c>
      <c r="AA38" s="3">
        <v>8.8</v>
      </c>
      <c r="AB38" s="6">
        <f t="shared" si="0"/>
        <v>1497.07</v>
      </c>
      <c r="AC38" s="6">
        <f t="shared" si="1"/>
        <v>748.535</v>
      </c>
      <c r="AD38" s="7">
        <f t="shared" si="2"/>
        <v>65.09</v>
      </c>
      <c r="AE38" s="6">
        <v>37</v>
      </c>
    </row>
    <row r="39" spans="1:31">
      <c r="A39" s="2">
        <v>14</v>
      </c>
      <c r="B39" s="2">
        <v>20221614640</v>
      </c>
      <c r="C39" s="2" t="s">
        <v>243</v>
      </c>
      <c r="D39" s="2" t="s">
        <v>31</v>
      </c>
      <c r="E39" s="2" t="s">
        <v>244</v>
      </c>
      <c r="F39" s="2" t="s">
        <v>245</v>
      </c>
      <c r="G39" s="2" t="s">
        <v>246</v>
      </c>
      <c r="H39" s="2" t="s">
        <v>247</v>
      </c>
      <c r="I39" s="2">
        <v>75.7</v>
      </c>
      <c r="J39" s="3">
        <v>24.5</v>
      </c>
      <c r="K39" s="2">
        <v>75.93</v>
      </c>
      <c r="L39" s="2">
        <v>79.89</v>
      </c>
      <c r="M39" s="2">
        <v>75.65</v>
      </c>
      <c r="N39" s="2" t="s">
        <v>248</v>
      </c>
      <c r="O39" s="2">
        <v>74.9</v>
      </c>
      <c r="P39" s="2">
        <v>93.75</v>
      </c>
      <c r="Q39" s="6">
        <v>79.48</v>
      </c>
      <c r="R39" s="6">
        <v>64.8</v>
      </c>
      <c r="S39" s="6">
        <v>84.37</v>
      </c>
      <c r="T39" s="6">
        <v>75.73</v>
      </c>
      <c r="U39" s="3">
        <v>15.2</v>
      </c>
      <c r="V39" s="3">
        <v>27.4</v>
      </c>
      <c r="W39" s="6">
        <v>82.5</v>
      </c>
      <c r="X39" s="6">
        <v>82.85</v>
      </c>
      <c r="Y39" s="3">
        <v>16</v>
      </c>
      <c r="Z39" s="6">
        <v>72.63</v>
      </c>
      <c r="AA39" s="3">
        <v>19.6</v>
      </c>
      <c r="AB39" s="6">
        <f t="shared" si="0"/>
        <v>1472.61</v>
      </c>
      <c r="AC39" s="6">
        <f t="shared" si="1"/>
        <v>736.305</v>
      </c>
      <c r="AD39" s="7">
        <f t="shared" si="2"/>
        <v>64.0265217391304</v>
      </c>
      <c r="AE39" s="6">
        <v>38</v>
      </c>
    </row>
    <row r="40" spans="1:31">
      <c r="A40" s="2">
        <v>24</v>
      </c>
      <c r="B40" s="2">
        <v>20221614743</v>
      </c>
      <c r="C40" s="2" t="s">
        <v>249</v>
      </c>
      <c r="D40" s="2" t="s">
        <v>31</v>
      </c>
      <c r="E40" s="2" t="s">
        <v>185</v>
      </c>
      <c r="F40" s="2" t="s">
        <v>147</v>
      </c>
      <c r="G40" s="2" t="s">
        <v>250</v>
      </c>
      <c r="H40" s="2" t="s">
        <v>251</v>
      </c>
      <c r="I40" s="2">
        <v>80.5</v>
      </c>
      <c r="J40" s="3">
        <v>20.4</v>
      </c>
      <c r="K40" s="2">
        <v>69.55</v>
      </c>
      <c r="L40" s="2">
        <v>73.17</v>
      </c>
      <c r="M40" s="2">
        <v>74.07</v>
      </c>
      <c r="N40" s="3" t="s">
        <v>252</v>
      </c>
      <c r="O40" s="2">
        <v>73.4</v>
      </c>
      <c r="P40" s="2">
        <v>96.25</v>
      </c>
      <c r="Q40" s="6">
        <v>62.85</v>
      </c>
      <c r="R40" s="6">
        <v>73.42</v>
      </c>
      <c r="S40" s="6">
        <v>79.2</v>
      </c>
      <c r="T40" s="3">
        <v>21.2</v>
      </c>
      <c r="U40" s="6">
        <v>84.25</v>
      </c>
      <c r="V40" s="3">
        <v>17.6</v>
      </c>
      <c r="W40" s="6">
        <v>71</v>
      </c>
      <c r="X40" s="6">
        <v>76.65</v>
      </c>
      <c r="Y40" s="6">
        <v>67.83</v>
      </c>
      <c r="Z40" s="6">
        <v>75.5</v>
      </c>
      <c r="AA40" s="3">
        <v>18</v>
      </c>
      <c r="AB40" s="6">
        <f t="shared" si="0"/>
        <v>1465.28</v>
      </c>
      <c r="AC40" s="6">
        <f t="shared" si="1"/>
        <v>732.64</v>
      </c>
      <c r="AD40" s="7">
        <f t="shared" si="2"/>
        <v>63.7078260869565</v>
      </c>
      <c r="AE40" s="6">
        <v>39</v>
      </c>
    </row>
    <row r="41" spans="1:31">
      <c r="A41" s="2">
        <v>20</v>
      </c>
      <c r="B41" s="2">
        <v>20221614733</v>
      </c>
      <c r="C41" s="2" t="s">
        <v>253</v>
      </c>
      <c r="D41" s="2" t="s">
        <v>31</v>
      </c>
      <c r="E41" s="2" t="s">
        <v>62</v>
      </c>
      <c r="F41" s="2" t="s">
        <v>200</v>
      </c>
      <c r="G41" s="2" t="s">
        <v>254</v>
      </c>
      <c r="H41" s="2" t="s">
        <v>255</v>
      </c>
      <c r="I41" s="2">
        <v>77.3</v>
      </c>
      <c r="J41" s="2">
        <v>76.38</v>
      </c>
      <c r="K41" s="4">
        <v>81.91</v>
      </c>
      <c r="L41" s="4">
        <v>70.26</v>
      </c>
      <c r="M41" s="2">
        <v>71.74</v>
      </c>
      <c r="N41" s="2" t="s">
        <v>256</v>
      </c>
      <c r="O41" s="2">
        <v>75.9</v>
      </c>
      <c r="P41" s="2">
        <v>96.25</v>
      </c>
      <c r="Q41" s="6">
        <v>90.54</v>
      </c>
      <c r="R41" s="6">
        <v>71.85</v>
      </c>
      <c r="S41" s="6">
        <v>75.45</v>
      </c>
      <c r="T41" s="3">
        <v>19.6</v>
      </c>
      <c r="U41" s="6">
        <v>70.5</v>
      </c>
      <c r="V41" s="3">
        <v>20.6</v>
      </c>
      <c r="W41" s="6">
        <v>70</v>
      </c>
      <c r="X41" s="6">
        <v>73.8</v>
      </c>
      <c r="Y41" s="3">
        <v>11.6</v>
      </c>
      <c r="Z41" s="3">
        <v>18.8</v>
      </c>
      <c r="AA41" s="3">
        <v>14.4</v>
      </c>
      <c r="AB41" s="6">
        <f t="shared" si="0"/>
        <v>1460.84</v>
      </c>
      <c r="AC41" s="6">
        <f t="shared" si="1"/>
        <v>730.42</v>
      </c>
      <c r="AD41" s="7">
        <f t="shared" si="2"/>
        <v>63.5147826086956</v>
      </c>
      <c r="AE41" s="6">
        <v>40</v>
      </c>
    </row>
    <row r="42" spans="1:31">
      <c r="A42" s="2">
        <v>15</v>
      </c>
      <c r="B42" s="2">
        <v>20221614641</v>
      </c>
      <c r="C42" s="2" t="s">
        <v>257</v>
      </c>
      <c r="D42" s="2" t="s">
        <v>31</v>
      </c>
      <c r="E42" s="2" t="s">
        <v>258</v>
      </c>
      <c r="F42" s="2" t="s">
        <v>259</v>
      </c>
      <c r="G42" s="2" t="s">
        <v>260</v>
      </c>
      <c r="H42" s="2" t="s">
        <v>261</v>
      </c>
      <c r="I42" s="2">
        <v>69.3</v>
      </c>
      <c r="J42" s="3">
        <v>6.4</v>
      </c>
      <c r="K42" s="4">
        <v>70.65</v>
      </c>
      <c r="L42" s="2">
        <v>72.92</v>
      </c>
      <c r="M42" s="2">
        <v>78.43</v>
      </c>
      <c r="N42" s="2" t="s">
        <v>262</v>
      </c>
      <c r="O42" s="2">
        <v>79.4</v>
      </c>
      <c r="P42" s="2">
        <v>88</v>
      </c>
      <c r="Q42" s="6">
        <v>73.41</v>
      </c>
      <c r="R42" s="6">
        <v>72.51</v>
      </c>
      <c r="S42" s="6">
        <v>79.12</v>
      </c>
      <c r="T42" s="3">
        <v>3.4</v>
      </c>
      <c r="U42" s="3">
        <v>14.4</v>
      </c>
      <c r="V42" s="3">
        <v>23.7</v>
      </c>
      <c r="W42" s="6">
        <v>65.5</v>
      </c>
      <c r="X42" s="6">
        <v>83.8</v>
      </c>
      <c r="Y42" s="3">
        <v>18</v>
      </c>
      <c r="Z42" s="3">
        <v>20.8</v>
      </c>
      <c r="AA42" s="6">
        <v>71.39</v>
      </c>
      <c r="AB42" s="6">
        <f t="shared" si="0"/>
        <v>1367.22</v>
      </c>
      <c r="AC42" s="6">
        <f t="shared" si="1"/>
        <v>683.61</v>
      </c>
      <c r="AD42" s="7">
        <f t="shared" si="2"/>
        <v>59.4443478260869</v>
      </c>
      <c r="AE42" s="6">
        <v>41</v>
      </c>
    </row>
    <row r="43" spans="1:31">
      <c r="A43" s="2">
        <v>3</v>
      </c>
      <c r="B43" s="2">
        <v>20221614601</v>
      </c>
      <c r="C43" s="2" t="s">
        <v>263</v>
      </c>
      <c r="D43" s="2" t="s">
        <v>31</v>
      </c>
      <c r="E43" s="2" t="s">
        <v>264</v>
      </c>
      <c r="F43" s="2" t="s">
        <v>265</v>
      </c>
      <c r="G43" s="2" t="s">
        <v>266</v>
      </c>
      <c r="H43" s="2">
        <v>67.21</v>
      </c>
      <c r="I43" s="2">
        <v>70</v>
      </c>
      <c r="J43" s="4">
        <v>66.79</v>
      </c>
      <c r="K43" s="3">
        <v>25.5</v>
      </c>
      <c r="L43" s="3">
        <v>23.6</v>
      </c>
      <c r="M43" s="2">
        <v>66.7</v>
      </c>
      <c r="N43" s="2" t="s">
        <v>267</v>
      </c>
      <c r="O43" s="2">
        <v>71.4</v>
      </c>
      <c r="P43" s="2">
        <v>85.5</v>
      </c>
      <c r="Q43" s="6">
        <v>63.64</v>
      </c>
      <c r="R43" s="6">
        <v>64.3</v>
      </c>
      <c r="S43" s="6">
        <v>82.37</v>
      </c>
      <c r="T43" s="3">
        <v>11.2</v>
      </c>
      <c r="U43" s="6">
        <v>79.7</v>
      </c>
      <c r="V43" s="6">
        <v>77.08</v>
      </c>
      <c r="W43" s="6">
        <v>76.5</v>
      </c>
      <c r="X43" s="6">
        <v>73</v>
      </c>
      <c r="Y43" s="3">
        <v>16.4</v>
      </c>
      <c r="Z43" s="3">
        <v>20.8</v>
      </c>
      <c r="AA43" s="3">
        <v>14.4</v>
      </c>
      <c r="AB43" s="6">
        <f t="shared" si="0"/>
        <v>1350.28</v>
      </c>
      <c r="AC43" s="6">
        <f t="shared" si="1"/>
        <v>675.14</v>
      </c>
      <c r="AD43" s="7">
        <f t="shared" si="2"/>
        <v>58.7078260869565</v>
      </c>
      <c r="AE43" s="6">
        <v>42</v>
      </c>
    </row>
    <row r="44" spans="1:31">
      <c r="A44" s="2">
        <v>22</v>
      </c>
      <c r="B44" s="2">
        <v>20221614735</v>
      </c>
      <c r="C44" s="2" t="s">
        <v>268</v>
      </c>
      <c r="D44" s="2" t="s">
        <v>31</v>
      </c>
      <c r="E44" s="2" t="s">
        <v>269</v>
      </c>
      <c r="F44" s="2" t="s">
        <v>270</v>
      </c>
      <c r="G44" s="2" t="s">
        <v>271</v>
      </c>
      <c r="H44" s="2" t="s">
        <v>272</v>
      </c>
      <c r="I44" s="2">
        <v>87.7</v>
      </c>
      <c r="J44" s="4">
        <v>71.41</v>
      </c>
      <c r="K44" s="4">
        <v>76.27</v>
      </c>
      <c r="L44" s="3">
        <v>27.5</v>
      </c>
      <c r="M44" s="2">
        <v>67.01</v>
      </c>
      <c r="N44" s="3" t="s">
        <v>273</v>
      </c>
      <c r="O44" s="2">
        <v>70.4</v>
      </c>
      <c r="P44" s="2">
        <v>93.75</v>
      </c>
      <c r="Q44" s="6">
        <v>70.86</v>
      </c>
      <c r="R44" s="6">
        <v>66.05</v>
      </c>
      <c r="S44" s="6">
        <v>75.4</v>
      </c>
      <c r="T44" s="3">
        <v>20.4</v>
      </c>
      <c r="U44" s="3">
        <v>12</v>
      </c>
      <c r="V44" s="3">
        <v>24</v>
      </c>
      <c r="W44" s="6">
        <v>61</v>
      </c>
      <c r="X44" s="6">
        <v>76.15</v>
      </c>
      <c r="Y44" s="3">
        <v>21.6</v>
      </c>
      <c r="Z44" s="6">
        <v>70.8</v>
      </c>
      <c r="AA44" s="3">
        <v>13.6</v>
      </c>
      <c r="AB44" s="6">
        <f t="shared" si="0"/>
        <v>1346.48</v>
      </c>
      <c r="AC44" s="6">
        <f t="shared" si="1"/>
        <v>673.24</v>
      </c>
      <c r="AD44" s="7">
        <f t="shared" si="2"/>
        <v>58.5426086956522</v>
      </c>
      <c r="AE44" s="6">
        <v>43</v>
      </c>
    </row>
    <row r="45" spans="1:31">
      <c r="A45" s="2">
        <v>13</v>
      </c>
      <c r="B45" s="2">
        <v>20221614639</v>
      </c>
      <c r="C45" s="2" t="s">
        <v>274</v>
      </c>
      <c r="D45" s="2" t="s">
        <v>31</v>
      </c>
      <c r="E45" s="2" t="s">
        <v>167</v>
      </c>
      <c r="F45" s="2" t="s">
        <v>233</v>
      </c>
      <c r="G45" s="2" t="s">
        <v>275</v>
      </c>
      <c r="H45" s="2" t="s">
        <v>276</v>
      </c>
      <c r="I45" s="2">
        <v>68.2</v>
      </c>
      <c r="J45" s="3">
        <v>17.5</v>
      </c>
      <c r="K45" s="4">
        <v>75.93</v>
      </c>
      <c r="L45" s="3">
        <v>27.4</v>
      </c>
      <c r="M45" s="2">
        <v>67.56</v>
      </c>
      <c r="N45" s="2" t="s">
        <v>277</v>
      </c>
      <c r="O45" s="2">
        <v>70.85</v>
      </c>
      <c r="P45" s="2">
        <v>93.75</v>
      </c>
      <c r="Q45" s="3">
        <v>58.91</v>
      </c>
      <c r="R45" s="6">
        <v>64.45</v>
      </c>
      <c r="S45" s="6">
        <v>84.5</v>
      </c>
      <c r="T45" s="6">
        <v>75.85</v>
      </c>
      <c r="U45" s="3">
        <v>11.6</v>
      </c>
      <c r="V45" s="3">
        <v>27.3</v>
      </c>
      <c r="W45" s="6">
        <v>78</v>
      </c>
      <c r="X45" s="6">
        <v>69</v>
      </c>
      <c r="Y45" s="3">
        <v>16.8</v>
      </c>
      <c r="Z45" s="3">
        <v>19.2</v>
      </c>
      <c r="AA45" s="3">
        <v>18.8</v>
      </c>
      <c r="AB45" s="6">
        <f t="shared" si="0"/>
        <v>1302.25</v>
      </c>
      <c r="AC45" s="6">
        <f t="shared" si="1"/>
        <v>651.125</v>
      </c>
      <c r="AD45" s="7">
        <f t="shared" si="2"/>
        <v>56.6195652173913</v>
      </c>
      <c r="AE45" s="6">
        <v>44</v>
      </c>
    </row>
    <row r="46" spans="1:31">
      <c r="A46" s="2">
        <v>16</v>
      </c>
      <c r="B46" s="2">
        <v>20221614642</v>
      </c>
      <c r="C46" s="2" t="s">
        <v>278</v>
      </c>
      <c r="D46" s="2" t="s">
        <v>31</v>
      </c>
      <c r="E46" s="2" t="s">
        <v>279</v>
      </c>
      <c r="F46" s="2" t="s">
        <v>280</v>
      </c>
      <c r="G46" s="2" t="s">
        <v>280</v>
      </c>
      <c r="H46" s="2" t="s">
        <v>281</v>
      </c>
      <c r="I46" s="2">
        <v>70.2</v>
      </c>
      <c r="J46" s="3">
        <v>18.5</v>
      </c>
      <c r="K46" s="4">
        <v>72.75</v>
      </c>
      <c r="L46" s="3">
        <v>18</v>
      </c>
      <c r="M46" s="2">
        <v>75.71</v>
      </c>
      <c r="N46" s="2" t="s">
        <v>282</v>
      </c>
      <c r="O46" s="2">
        <v>78.6</v>
      </c>
      <c r="P46" s="2">
        <v>93.75</v>
      </c>
      <c r="Q46" s="6">
        <v>67.59</v>
      </c>
      <c r="R46" s="6">
        <v>68.7</v>
      </c>
      <c r="S46" s="6">
        <v>77.92</v>
      </c>
      <c r="T46" s="3">
        <v>22</v>
      </c>
      <c r="U46" s="6">
        <v>73.98</v>
      </c>
      <c r="V46" s="3">
        <v>20.7</v>
      </c>
      <c r="W46" s="6">
        <v>72.5</v>
      </c>
      <c r="X46" s="6">
        <v>68.25</v>
      </c>
      <c r="Y46" s="3">
        <v>14</v>
      </c>
      <c r="Z46" s="3">
        <v>15.4</v>
      </c>
      <c r="AA46" s="3">
        <v>11.2</v>
      </c>
      <c r="AB46" s="6">
        <f t="shared" si="0"/>
        <v>1292.41</v>
      </c>
      <c r="AC46" s="6">
        <f t="shared" si="1"/>
        <v>646.205</v>
      </c>
      <c r="AD46" s="7">
        <f t="shared" si="2"/>
        <v>56.1917391304348</v>
      </c>
      <c r="AE46" s="6">
        <v>45</v>
      </c>
    </row>
  </sheetData>
  <sheetProtection sheet="1" formatCells="0" formatColumns="0" formatRows="0" insertRows="0" insertColumns="0" insertHyperlinks="0" deleteColumns="0" deleteRows="0" sort="0" autoFilter="0" pivotTables="0"/>
  <sortState ref="A2:AF46">
    <sortCondition ref="AE2"/>
  </sortState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565754952" otherUserPermission="visible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WWO_wpscloud_20240620175157-2f259bf60d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不灭七星&amp;</cp:lastModifiedBy>
  <dcterms:created xsi:type="dcterms:W3CDTF">2024-07-21T12:29:00Z</dcterms:created>
  <dcterms:modified xsi:type="dcterms:W3CDTF">2025-11-05T08:25:27Z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2052-12.1.0.23125</vt:lpwstr>
  </property>
</Properties>
</file>